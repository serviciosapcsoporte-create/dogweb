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Dashboard" sheetId="2" state="visible" r:id="rId4"/>
    <sheet name="Config" sheetId="3" state="visible" r:id="rId5"/>
    <sheet name="Datos_CCTV" sheetId="4" state="visible" r:id="rId6"/>
    <sheet name="Flujo_Horario" sheetId="5" state="visible" r:id="rId7"/>
    <sheet name="SEO_Mensual" sheetId="6" state="visible" r:id="rId8"/>
    <sheet name="SEO_Keywords" sheetId="7" state="visible" r:id="rId9"/>
    <sheet name="Checklist_SEO" sheetId="8" state="visible" r:id="rId10"/>
    <sheet name="Embudo" sheetId="9" state="visible" r:id="rId11"/>
    <sheet name="Guia_YOLO" sheetId="10" state="visible" r:id="rId12"/>
  </sheets>
  <definedNames>
    <definedName function="false" hidden="false" localSheetId="7" name="_xlnm.Print_Titles" vbProcedure="false">Checklist_SEO!$1:$5</definedName>
    <definedName function="false" hidden="false" localSheetId="2" name="_xlnm.Print_Titles" vbProcedure="false">Config!$1:$5</definedName>
    <definedName function="false" hidden="false" localSheetId="1" name="_xlnm.Print_Titles" vbProcedure="false">Dashboard!$1:$5</definedName>
    <definedName function="false" hidden="false" localSheetId="3" name="_xlnm.Print_Titles" vbProcedure="false">Datos_CCTV!$1:$5</definedName>
    <definedName function="false" hidden="true" localSheetId="3" name="_xlnm._FilterDatabase" vbProcedure="false">Datos_CCTV!$A$6:$O$372</definedName>
    <definedName function="false" hidden="false" localSheetId="8" name="_xlnm.Print_Titles" vbProcedure="false">Embudo!$1:$5</definedName>
    <definedName function="false" hidden="false" localSheetId="4" name="_xlnm.Print_Titles" vbProcedure="false">Flujo_Horario!$1:$5</definedName>
    <definedName function="false" hidden="false" localSheetId="9" name="_xlnm.Print_Titles" vbProcedure="false">Guia_YOLO!$1:$5</definedName>
    <definedName function="false" hidden="false" localSheetId="0" name="_xlnm.Print_Titles" vbProcedure="false">Inicio!$1:$5</definedName>
    <definedName function="false" hidden="false" localSheetId="6" name="_xlnm.Print_Titles" vbProcedure="false">SEO_Keywords!$1:$5</definedName>
    <definedName function="false" hidden="false" localSheetId="5" name="_xlnm.Print_Titles" vbProcedure="false">SEO_Mensual!$1:$5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<sst xmlns="http://schemas.openxmlformats.org/spreadsheetml/2006/main" count="420" uniqueCount="311">
  <si>
    <t xml:space="preserve">PLANTILLA KPI · CONVERSIÓN OFFLINE (CCTV + YOLO) + SEO</t>
  </si>
  <si>
    <t xml:space="preserve">Guía de inicio · Celdas amarillas = las llenas tú · Celdas grises = fórmulas automáticas</t>
  </si>
  <si>
    <t xml:space="preserve">APC Servicios Tecnológicos — By Alejandro Piraquive  |  WhatsApp / Tel: 333 745 0634</t>
  </si>
  <si>
    <t xml:space="preserve">Web: serviciosapc.site</t>
  </si>
  <si>
    <t xml:space="preserve">Bienvenido: mide cuántas personas pasan, entran y compran en tu negocio físico, y cómo el SEO te trae clientes.</t>
  </si>
  <si>
    <t xml:space="preserve">Esta plantilla une dos mundos: el conteo de personas con cámaras CCTV + YOLO (inteligencia artificial) y las métricas de SEO/Google. El resultado: tu tasa de conversión offline real.</t>
  </si>
  <si>
    <t xml:space="preserve">ÍNDICE DE HOJAS (clic para ir)</t>
  </si>
  <si>
    <t xml:space="preserve">Hoja</t>
  </si>
  <si>
    <t xml:space="preserve">Quién llena</t>
  </si>
  <si>
    <t xml:space="preserve">Para qué sirve</t>
  </si>
  <si>
    <t xml:space="preserve">Frecuencia</t>
  </si>
  <si>
    <t xml:space="preserve">Dashboard</t>
  </si>
  <si>
    <t xml:space="preserve">Automática</t>
  </si>
  <si>
    <t xml:space="preserve">Tablero con tus KPI, semáforo de conversión, gráficos y embudo.</t>
  </si>
  <si>
    <t xml:space="preserve">Se actualiza sola</t>
  </si>
  <si>
    <t xml:space="preserve">Config</t>
  </si>
  <si>
    <t xml:space="preserve">Tú (1 vez)</t>
  </si>
  <si>
    <t xml:space="preserve">Datos de la empresa, metas, margen e inversión en SEO.</t>
  </si>
  <si>
    <t xml:space="preserve">Al empezar</t>
  </si>
  <si>
    <t xml:space="preserve">Datos_CCTV</t>
  </si>
  <si>
    <t xml:space="preserve">Tú / script YOLO</t>
  </si>
  <si>
    <t xml:space="preserve">Registro diario: peatones, entradas/salidas (YOLO), ventas y transacciones.</t>
  </si>
  <si>
    <t xml:space="preserve">Diaria</t>
  </si>
  <si>
    <t xml:space="preserve">Flujo_Horario</t>
  </si>
  <si>
    <t xml:space="preserve">Mapa de calor de visitantes por hora y día + asesores sugeridos.</t>
  </si>
  <si>
    <t xml:space="preserve">Semanal / mensual</t>
  </si>
  <si>
    <t xml:space="preserve">SEO_Mensual</t>
  </si>
  <si>
    <t xml:space="preserve">Tú</t>
  </si>
  <si>
    <t xml:space="preserve">Impresiones, clics, posición, llamadas, 'cómo llegar' y leads de Google.</t>
  </si>
  <si>
    <t xml:space="preserve">Mensual</t>
  </si>
  <si>
    <t xml:space="preserve">SEO_Keywords</t>
  </si>
  <si>
    <t xml:space="preserve">Seguimiento de palabras clave: posición anterior vs actual.</t>
  </si>
  <si>
    <t xml:space="preserve">Checklist_SEO</t>
  </si>
  <si>
    <t xml:space="preserve">20 tareas de SEO local con estado y % de avance.</t>
  </si>
  <si>
    <t xml:space="preserve">Continua</t>
  </si>
  <si>
    <t xml:space="preserve">Embudo</t>
  </si>
  <si>
    <t xml:space="preserve">Une SEO + CCTV mes a mes: captación, conversión, ticket y oportunidad.</t>
  </si>
  <si>
    <t xml:space="preserve">Guia_YOLO</t>
  </si>
  <si>
    <t xml:space="preserve">Lectura</t>
  </si>
  <si>
    <t xml:space="preserve">Cómo instalar el conteo con YOLO, script, privacidad y glosario de KPI.</t>
  </si>
  <si>
    <t xml:space="preserve">Consulta</t>
  </si>
  <si>
    <t xml:space="preserve">LEYENDA DE COLORES</t>
  </si>
  <si>
    <t xml:space="preserve">Ejemplo</t>
  </si>
  <si>
    <t xml:space="preserve">Celda de entrada</t>
  </si>
  <si>
    <t xml:space="preserve">Aquí escribes tus datos (texto azul sobre fondo amarillo).</t>
  </si>
  <si>
    <t xml:space="preserve">Automático</t>
  </si>
  <si>
    <t xml:space="preserve">Fórmula</t>
  </si>
  <si>
    <t xml:space="preserve">Se calcula sola. No la borres ni la sobrescribas.</t>
  </si>
  <si>
    <t xml:space="preserve">Total</t>
  </si>
  <si>
    <t xml:space="preserve">Totales</t>
  </si>
  <si>
    <t xml:space="preserve">Suma o promedio del periodo.</t>
  </si>
  <si>
    <t xml:space="preserve">CÓMO USARLA EN 5 PASOS</t>
  </si>
  <si>
    <t xml:space="preserve">1) Ve a Config y escribe el nombre de tu empresa, el año, tus metas, margen e inversión mensual en SEO.</t>
  </si>
  <si>
    <t xml:space="preserve">2) Instala el conteo con YOLO (hoja Guia_YOLO) y registra cada día en Datos_CCTV: peatones, entradas, salidas, transacciones y ventas.</t>
  </si>
  <si>
    <t xml:space="preserve">3) Cada mes copia de Google Search Console, GA4 y Google Business Profile a SEO_Mensual, y actualiza SEO_Keywords.</t>
  </si>
  <si>
    <t xml:space="preserve">4) Avanza el Checklist_SEO cambiando el estado de cada tarea (Pendiente / En curso / Listo).</t>
  </si>
  <si>
    <t xml:space="preserve">5) Revisa el Dashboard: verás tu conversión offline vs la meta, cuánto dinero dejas de ganar y el ROI estimado del SEO.</t>
  </si>
  <si>
    <t xml:space="preserve">CONTACTO</t>
  </si>
  <si>
    <t xml:space="preserve">Empresa</t>
  </si>
  <si>
    <t xml:space="preserve">APC Servicios Tecnológicos — By Alejandro Piraquive</t>
  </si>
  <si>
    <t xml:space="preserve">Responsable</t>
  </si>
  <si>
    <t xml:space="preserve">Alejandro Piraquive</t>
  </si>
  <si>
    <t xml:space="preserve">WhatsApp / Tel.</t>
  </si>
  <si>
    <t xml:space="preserve">333 745 0634</t>
  </si>
  <si>
    <t xml:space="preserve">Sitio web</t>
  </si>
  <si>
    <t xml:space="preserve">serviciosapc.site</t>
  </si>
  <si>
    <t xml:space="preserve">¿Quieres que te instalemos el conteo con YOLO y el SEO por ti? Escríbenos por WhatsApp o visita serviciosapc.site.</t>
  </si>
  <si>
    <t xml:space="preserve">© APC Servicios Tecnológicos. Plantilla para clientes y seguidores. Los datos de ejemplo (primera fila de cada tabla) deben reemplazarse por los tuyos.</t>
  </si>
  <si>
    <t xml:space="preserve">Tablero de KPI · 100% automático (no escribas aquí)</t>
  </si>
  <si>
    <t xml:space="preserve">Visitantes que entran (YOLO)</t>
  </si>
  <si>
    <t xml:space="preserve">Peatones frente al local</t>
  </si>
  <si>
    <t xml:space="preserve">Ticket promedio</t>
  </si>
  <si>
    <t xml:space="preserve">Ventas totales</t>
  </si>
  <si>
    <t xml:space="preserve">Ventas por visitante</t>
  </si>
  <si>
    <t xml:space="preserve">Oportunidad de ventas perdida</t>
  </si>
  <si>
    <t xml:space="preserve">Clics orgánicos (SEO)</t>
  </si>
  <si>
    <t xml:space="preserve">Posición promedio en Google</t>
  </si>
  <si>
    <t xml:space="preserve">ROI SEO estimado (meses con ventas)</t>
  </si>
  <si>
    <t xml:space="preserve">Avance checklist SEO</t>
  </si>
  <si>
    <t xml:space="preserve">EMBUDO: DE GOOGLE AL PUNTO DE VENTA (periodo completo)</t>
  </si>
  <si>
    <t xml:space="preserve">LECTURA RÁPIDA</t>
  </si>
  <si>
    <t xml:space="preserve">Etapa</t>
  </si>
  <si>
    <t xml:space="preserve">Volumen</t>
  </si>
  <si>
    <t xml:space="preserve">% vs etapa anterior</t>
  </si>
  <si>
    <t xml:space="preserve">Impresiones en Google</t>
  </si>
  <si>
    <t xml:space="preserve">—</t>
  </si>
  <si>
    <t xml:space="preserve">Clics al sitio web</t>
  </si>
  <si>
    <t xml:space="preserve">Acciones (llamadas, ruta, leads)</t>
  </si>
  <si>
    <t xml:space="preserve">Visitantes que entran</t>
  </si>
  <si>
    <t xml:space="preserve">Compras (transacciones)</t>
  </si>
  <si>
    <t xml:space="preserve">Las etapas digitales y físicas son canales paralelos: la relación se mide en el periodo, no persona por persona.</t>
  </si>
  <si>
    <t xml:space="preserve">Parámetros generales · Cambia solo las celdas amarillas</t>
  </si>
  <si>
    <t xml:space="preserve">Parámetro</t>
  </si>
  <si>
    <t xml:space="preserve">Valor</t>
  </si>
  <si>
    <t xml:space="preserve">Nota / cómo se usa</t>
  </si>
  <si>
    <t xml:space="preserve">1. Datos generales</t>
  </si>
  <si>
    <t xml:space="preserve">Nombre de la empresa / cliente</t>
  </si>
  <si>
    <t xml:space="preserve">Mi Empresa S.A.S.</t>
  </si>
  <si>
    <t xml:space="preserve">Aparece como referencia del reporte.</t>
  </si>
  <si>
    <t xml:space="preserve">Sede / punto de venta</t>
  </si>
  <si>
    <t xml:space="preserve">Sede Principal</t>
  </si>
  <si>
    <t xml:space="preserve">Si tienes varias sedes, usa una copia de este libro por sede.</t>
  </si>
  <si>
    <t xml:space="preserve">Sector o tipo de negocio</t>
  </si>
  <si>
    <t xml:space="preserve">Comercio minorista</t>
  </si>
  <si>
    <t xml:space="preserve">Solo informativo.</t>
  </si>
  <si>
    <t xml:space="preserve">Año de análisis</t>
  </si>
  <si>
    <t xml:space="preserve">Define los 12 meses de SEO_Mensual y Embudo. Las fechas de Datos_CCTV deben ser de este año.</t>
  </si>
  <si>
    <t xml:space="preserve">Moneda</t>
  </si>
  <si>
    <t xml:space="preserve">COP</t>
  </si>
  <si>
    <t xml:space="preserve">Solo informativo. El formato de dinero usa el símbolo $.</t>
  </si>
  <si>
    <t xml:space="preserve">2. Metas y supuestos</t>
  </si>
  <si>
    <t xml:space="preserve">Meta de tasa de captación (peatones → visitantes que entran)</t>
  </si>
  <si>
    <t xml:space="preserve">Supuesto de ejemplo: 8%. Ajusta según tu sector y ubicación.</t>
  </si>
  <si>
    <t xml:space="preserve">Meta de tasa de conversión (visitantes → compra)</t>
  </si>
  <si>
    <t xml:space="preserve">Supuesto de ejemplo: 25%. Es la meta contra la que se mide el semáforo.</t>
  </si>
  <si>
    <t xml:space="preserve">Margen bruto estimado</t>
  </si>
  <si>
    <t xml:space="preserve">Supuesto de ejemplo: 35%. Úsalo para estimar utilidad bruta y ROI.</t>
  </si>
  <si>
    <t xml:space="preserve">% de ventas atribuibles a SEO / canal digital (estimado)</t>
  </si>
  <si>
    <t xml:space="preserve">Supuesto de ejemplo: 20%. Sin seguimiento por cliente es una estimación, no un dato exacto.</t>
  </si>
  <si>
    <t xml:space="preserve">Visitantes que atiende un asesor por hora</t>
  </si>
  <si>
    <t xml:space="preserve">Supuesto de ejemplo: 12. Sirve para calcular asesores sugeridos en Flujo_Horario.</t>
  </si>
  <si>
    <t xml:space="preserve">3. Inversión</t>
  </si>
  <si>
    <t xml:space="preserve">Inversión mensual en SEO</t>
  </si>
  <si>
    <t xml:space="preserve">Supuesto de ejemplo. Se usa en el ROI del Dashboard (por cada mes con ventas registradas).</t>
  </si>
  <si>
    <t xml:space="preserve">Registro diario (YOLO + POS) · La fila 7 es un EJEMPLO: reemplázala con tus datos</t>
  </si>
  <si>
    <t xml:space="preserve">Fecha</t>
  </si>
  <si>
    <t xml:space="preserve">Día</t>
  </si>
  <si>
    <t xml:space="preserve">Cámara / zona</t>
  </si>
  <si>
    <t xml:space="preserve">Peatones frente al local (YOLO exterior)</t>
  </si>
  <si>
    <t xml:space="preserve">Visitantes que entran (YOLO IN)</t>
  </si>
  <si>
    <t xml:space="preserve">Salidas (YOLO OUT)</t>
  </si>
  <si>
    <t xml:space="preserve">Permanencia promedio (min)</t>
  </si>
  <si>
    <t xml:space="preserve">Hora pico</t>
  </si>
  <si>
    <t xml:space="preserve">Transacciones (POS)</t>
  </si>
  <si>
    <t xml:space="preserve">Ventas del día ($)</t>
  </si>
  <si>
    <t xml:space="preserve">Tasa de captación</t>
  </si>
  <si>
    <t xml:space="preserve">Tasa de conversión</t>
  </si>
  <si>
    <t xml:space="preserve">Notas</t>
  </si>
  <si>
    <t xml:space="preserve">CAM-01 Entrada</t>
  </si>
  <si>
    <t xml:space="preserve">12:00-13:00</t>
  </si>
  <si>
    <t xml:space="preserve">EJEMPLO: reemplaza esta fila</t>
  </si>
  <si>
    <t xml:space="preserve">Visitantes promedio por hora y día (dato de YOLO) · La franja 12:00-13:00 es un EJEMPLO</t>
  </si>
  <si>
    <t xml:space="preserve">Franja horaria</t>
  </si>
  <si>
    <t xml:space="preserve">Lun</t>
  </si>
  <si>
    <t xml:space="preserve">Mar</t>
  </si>
  <si>
    <t xml:space="preserve">Mié</t>
  </si>
  <si>
    <t xml:space="preserve">Jue</t>
  </si>
  <si>
    <t xml:space="preserve">Vie</t>
  </si>
  <si>
    <t xml:space="preserve">Sáb</t>
  </si>
  <si>
    <t xml:space="preserve">Dom</t>
  </si>
  <si>
    <t xml:space="preserve">Promedio semanal por hora</t>
  </si>
  <si>
    <t xml:space="preserve">% del flujo semanal</t>
  </si>
  <si>
    <t xml:space="preserve">Asesores sugeridos (día más alto)</t>
  </si>
  <si>
    <t xml:space="preserve">06:00-07:00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</si>
  <si>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</si>
  <si>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</si>
  <si>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</si>
  <si>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</si>
  <si>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11:00-12:00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</si>
  <si>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</si>
  <si>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</si>
  <si>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</si>
  <si>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</si>
  <si>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</si>
  <si>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</si>
  <si>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</si>
  <si>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</si>
  <si>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</si>
  <si>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</si>
  <si>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Total visitantes</t>
  </si>
  <si>
    <t xml:space="preserve">Franja pico de la semana</t>
  </si>
  <si>
    <t xml:space="preserve">Día más fuerte</t>
  </si>
  <si>
    <t xml:space="preserve">Cómo llenar: en cada celda amarilla escribe el promedio de personas que entran en esa hora para ese día (sale del conteo YOLO). El color más oscuro indica más flujo.</t>
  </si>
  <si>
    <t xml:space="preserve">Métricas SEO por mes (Search Console, GA4, Google Business Profile) · Enero es un EJEMPLO</t>
  </si>
  <si>
    <t xml:space="preserve">Mes</t>
  </si>
  <si>
    <t xml:space="preserve">Clics al sitio</t>
  </si>
  <si>
    <t xml:space="preserve">CTR</t>
  </si>
  <si>
    <t xml:space="preserve">Posición promedio</t>
  </si>
  <si>
    <t xml:space="preserve">Sesiones orgánicas (GA4)</t>
  </si>
  <si>
    <t xml:space="preserve">Llamadas (Google Business)</t>
  </si>
  <si>
    <t xml:space="preserve">Solicitudes 'Cómo llegar'</t>
  </si>
  <si>
    <t xml:space="preserve">Leads (formularios / WhatsApp)</t>
  </si>
  <si>
    <t xml:space="preserve">Acciones totales</t>
  </si>
  <si>
    <t xml:space="preserve">Total / prom.</t>
  </si>
  <si>
    <t xml:space="preserve">Dónde sacar cada dato: Impresiones, Clics y Posición → Google Search Console · Sesiones → GA4 · Llamadas y 'Cómo llegar' → Rendimiento en Google Business Profile · Leads → tu formulario / WhatsApp.</t>
  </si>
  <si>
    <t xml:space="preserve">Una posición promedio menor es mejor (1 = primer resultado).</t>
  </si>
  <si>
    <t xml:space="preserve">Seguimiento de palabras clave · La fila 7 es un EJEMPLO</t>
  </si>
  <si>
    <t xml:space="preserve">Palabra clave</t>
  </si>
  <si>
    <t xml:space="preserve">Intención</t>
  </si>
  <si>
    <t xml:space="preserve">Volumen mensual</t>
  </si>
  <si>
    <t xml:space="preserve">Posición anterior</t>
  </si>
  <si>
    <t xml:space="preserve">Posición actual</t>
  </si>
  <si>
    <t xml:space="preserve">Cambio (+ = mejoró)</t>
  </si>
  <si>
    <t xml:space="preserve">Página objetivo (URL)</t>
  </si>
  <si>
    <t xml:space="preserve">Prioridad</t>
  </si>
  <si>
    <t xml:space="preserve">cámaras de seguridad [tu ciudad]</t>
  </si>
  <si>
    <t xml:space="preserve">Local</t>
  </si>
  <si>
    <t xml:space="preserve">https://tudominio.com/camaras-de-seguridad</t>
  </si>
  <si>
    <t xml:space="preserve">Alta</t>
  </si>
  <si>
    <t xml:space="preserve">EJEMPLO: reemplaza</t>
  </si>
  <si>
    <t xml:space="preserve">Keywords en Top 3</t>
  </si>
  <si>
    <t xml:space="preserve">Keywords en Top 10 (página 1)</t>
  </si>
  <si>
    <t xml:space="preserve">Keywords que mejoraron</t>
  </si>
  <si>
    <t xml:space="preserve">Keywords que empeoraron</t>
  </si>
  <si>
    <t xml:space="preserve">Nota: la posición 1 es la mejor. 'Cambio' = posición anterior − posición actual.</t>
  </si>
  <si>
    <t xml:space="preserve">20 tareas de SEO local · Cambia el Estado de cada tarea con la lista desplegable</t>
  </si>
  <si>
    <t xml:space="preserve">Categoría</t>
  </si>
  <si>
    <t xml:space="preserve">Tarea</t>
  </si>
  <si>
    <t xml:space="preserve">Estado</t>
  </si>
  <si>
    <t xml:space="preserve">Fecha meta</t>
  </si>
  <si>
    <t xml:space="preserve">Google Business</t>
  </si>
  <si>
    <t xml:space="preserve">Perfil verificado y categoría principal correcta</t>
  </si>
  <si>
    <t xml:space="preserve">Pendiente</t>
  </si>
  <si>
    <t xml:space="preserve">Nombre, dirección y teléfono (NAP) idénticos al sitio web y directorios</t>
  </si>
  <si>
    <t xml:space="preserve">Al menos 10 fotos reales del local, renovadas cada mes</t>
  </si>
  <si>
    <t xml:space="preserve">Media</t>
  </si>
  <si>
    <t xml:space="preserve">Responder todas las reseñas (meta: menos de 48 horas)</t>
  </si>
  <si>
    <t xml:space="preserve">Publicar novedades u ofertas cada semana</t>
  </si>
  <si>
    <t xml:space="preserve">On-page</t>
  </si>
  <si>
    <t xml:space="preserve">Title (máx. 60 caracteres) y meta description (máx. 155) únicos con la palabra clave</t>
  </si>
  <si>
    <t xml:space="preserve">Un solo H1 por página y estructura H2/H3 ordenada</t>
  </si>
  <si>
    <t xml:space="preserve">Contenido que responde la intención de búsqueda (600+ palabras en páginas clave)</t>
  </si>
  <si>
    <t xml:space="preserve">Imágenes con texto alternativo descriptivo y formato liviano (WebP)</t>
  </si>
  <si>
    <t xml:space="preserve">Enlaces internos entre servicios / productos relacionados</t>
  </si>
  <si>
    <t xml:space="preserve">Baja</t>
  </si>
  <si>
    <t xml:space="preserve">Técnico</t>
  </si>
  <si>
    <t xml:space="preserve">Certificado HTTPS activo en todo el sitio</t>
  </si>
  <si>
    <t xml:space="preserve">Core Web Vitals en verde (LCP menor a 2,5 s)</t>
  </si>
  <si>
    <t xml:space="preserve">Sitio 100% usable en celular</t>
  </si>
  <si>
    <t xml:space="preserve">Sitemap.xml enviado a Search Console y robots.txt correcto</t>
  </si>
  <si>
    <t xml:space="preserve">Datos estructurados Schema.org (LocalBusiness, Product, FAQ)</t>
  </si>
  <si>
    <t xml:space="preserve">Local y autoridad</t>
  </si>
  <si>
    <t xml:space="preserve">Directorios y citaciones locales consistentes</t>
  </si>
  <si>
    <t xml:space="preserve">Backlinks de calidad (prensa local, gremios, proveedores)</t>
  </si>
  <si>
    <t xml:space="preserve">Una página por sede o zona de servicio</t>
  </si>
  <si>
    <t xml:space="preserve">Medición</t>
  </si>
  <si>
    <t xml:space="preserve">Search Console y GA4 conectados y verificados</t>
  </si>
  <si>
    <t xml:space="preserve">Eventos de conversión configurados (llamadas, WhatsApp, 'cómo llegar')</t>
  </si>
  <si>
    <t xml:space="preserve">Tareas listas</t>
  </si>
  <si>
    <t xml:space="preserve">Tareas en curso</t>
  </si>
  <si>
    <t xml:space="preserve">Avance del checklist SEO</t>
  </si>
  <si>
    <t xml:space="preserve">Une SEO + CCTV mes a mes · 100% automática (no escribas aquí)</t>
  </si>
  <si>
    <t xml:space="preserve">Impresiones Google</t>
  </si>
  <si>
    <t xml:space="preserve">Acciones (llamadas + ruta + leads)</t>
  </si>
  <si>
    <t xml:space="preserve">Peatones (YOLO)</t>
  </si>
  <si>
    <t xml:space="preserve">Transacciones</t>
  </si>
  <si>
    <t xml:space="preserve">Ventas ($)</t>
  </si>
  <si>
    <t xml:space="preserve">Meta conversión</t>
  </si>
  <si>
    <t xml:space="preserve">Brecha vs meta</t>
  </si>
  <si>
    <t xml:space="preserve">Oportunidad de ventas ($)</t>
  </si>
  <si>
    <t xml:space="preserve">Utilidad bruta estimada ($)</t>
  </si>
  <si>
    <t xml:space="preserve">Etiqueta (gráficos)</t>
  </si>
  <si>
    <t xml:space="preserve">Oportunidad de ventas = (meta de conversión − conversión real) × visitantes × ticket promedio. Es una estimación: muestra cuánto dejas de vender por cada punto de conversión que no alcanzas.</t>
  </si>
  <si>
    <t xml:space="preserve">Peatones, visitantes, transacciones y ventas se suman desde Datos_CCTV por mes (según la fecha). Las columnas de SEO vienen de SEO_Mensual.</t>
  </si>
  <si>
    <t xml:space="preserve">Cómo dar vida a tu CCTV con YOLO (conteo de personas) · Guía rápida</t>
  </si>
  <si>
    <t xml:space="preserve">1. ARQUITECTURA</t>
  </si>
  <si>
    <t xml:space="preserve">Cámara IP (RTSP) → computador / mini PC / Jetson con YOLO → conteo IN/OUT por hora → CSV → pegar en Datos_CCTV y Flujo_Horario → Dashboard.</t>
  </si>
  <si>
    <t xml:space="preserve">2. UBICACIÓN DE LAS CÁMARAS</t>
  </si>
  <si>
    <t xml:space="preserve">• Cámara de entrada: a 2,5–3 m de altura, ángulo de 30°–45° hacia la puerta, una línea virtual que cruce todo el acceso.</t>
  </si>
  <si>
    <t xml:space="preserve">• Cámara exterior (opcional): apunta a la acera para contar peatones frente al local y calcular la tasa de captación.</t>
  </si>
  <si>
    <t xml:space="preserve">• Buena iluminación y sin contraluz. Evita que la puerta quede tapada por vitrinas o publicidad.</t>
  </si>
  <si>
    <t xml:space="preserve">3. SCRIPT BASE EN PYTHON (Ultralytics YOLO)  ·  pip install ultralytics opencv-python</t>
  </si>
  <si>
    <t xml:space="preserve">Ejemplo base: ajusta la dirección RTSP y la línea (region). La API de Ultralytics cambia entre versiones; verifica con tu versión instalada.</t>
  </si>
  <si>
    <t xml:space="preserve">from ultralytics import solutions</t>
  </si>
  <si>
    <t xml:space="preserve">import cv2, csv, datetime</t>
  </si>
  <si>
    <t xml:space="preserve">cap = cv2.VideoCapture("rtsp://usuario:clave@IP:554/stream")</t>
  </si>
  <si>
    <t xml:space="preserve">counter = solutions.ObjectCounter(</t>
  </si>
  <si>
    <t xml:space="preserve">    model="yolo11n.pt",</t>
  </si>
  <si>
    <t xml:space="preserve">    region=[(0, 400), (1280, 400)],   # línea virtual sobre la puerta</t>
  </si>
  <si>
    <t xml:space="preserve">    classes=[0],                      # 0 = persona</t>
  </si>
  <si>
    <t xml:space="preserve">    show=False)</t>
  </si>
  <si>
    <t xml:space="preserve">prev_in = prev_out = 0</t>
  </si>
  <si>
    <t xml:space="preserve">hora = datetime.datetime.now().hour</t>
  </si>
  <si>
    <t xml:space="preserve">f = open("conteo.csv", "a", newline="")</t>
  </si>
  <si>
    <t xml:space="preserve">w = csv.writer(f)</t>
  </si>
  <si>
    <t xml:space="preserve">while cap.isOpened():</t>
  </si>
  <si>
    <t xml:space="preserve">    ok, frame = cap.read()</t>
  </si>
  <si>
    <t xml:space="preserve">    if not ok: break</t>
  </si>
  <si>
    <t xml:space="preserve">    res = counter(frame)              # res.in_count / res.out_count (acumulados)</t>
  </si>
  <si>
    <t xml:space="preserve">    h = datetime.datetime.now().hour</t>
  </si>
  <si>
    <t xml:space="preserve">    if h != hora:                     # al cambiar la hora, guarda el conteo</t>
  </si>
  <si>
    <t xml:space="preserve">        w.writerow([datetime.date.today(), f"{hora:02d}:00", "CAM-01",</t>
  </si>
  <si>
    <t xml:space="preserve">                    res.in_count - prev_in, res.out_count - prev_out])</t>
  </si>
  <si>
    <t xml:space="preserve">        f.flush(); prev_in, prev_out, hora = res.in_count, res.out_count, h</t>
  </si>
  <si>
    <t xml:space="preserve">4. CÓMO PASAR EL CSV A ESTA PLANTILLA</t>
  </si>
  <si>
    <t xml:space="preserve">• Suma las entradas (IN) de cada día y pégalas en Datos_CCTV → columna 'Visitantes que entran'; lo mismo con las salidas (OUT).</t>
  </si>
  <si>
    <t xml:space="preserve">• Para Flujo_Horario, promedia las entradas de cada franja horaria por día de la semana (tabla dinámica o PROMEDIO.SI.CONJUNTO).</t>
  </si>
  <si>
    <t xml:space="preserve">• Transacciones y ventas salen de tu POS / facturación del mismo día.</t>
  </si>
  <si>
    <t xml:space="preserve">5. PRIVACIDAD Y BUENAS PRÁCTICAS</t>
  </si>
  <si>
    <t xml:space="preserve">• Cuenta personas, no las identifiques: usa solo la clase 'persona', no guardes rostros ni video innecesario y conserva solo los conteos.</t>
  </si>
  <si>
    <t xml:space="preserve">• Avisa con señalización de zona videovigilada y revisa la normativa de datos personales de tu país (en Colombia, Ley 1581 de 2012 – Habeas Data). Consulta a un asesor legal si tienes dudas.</t>
  </si>
  <si>
    <t xml:space="preserve">6. GLOSARIO DE KPI</t>
  </si>
  <si>
    <t xml:space="preserve">KPI</t>
  </si>
  <si>
    <t xml:space="preserve">Cómo interpretarlo</t>
  </si>
  <si>
    <t xml:space="preserve">Visitantes que entran ÷ Peatones frente al local</t>
  </si>
  <si>
    <t xml:space="preserve">Qué tan atractiva es tu fachada / vitrina / oferta visible.</t>
  </si>
  <si>
    <t xml:space="preserve">Tasa de conversión offline</t>
  </si>
  <si>
    <t xml:space="preserve">Transacciones ÷ Visitantes que entran</t>
  </si>
  <si>
    <t xml:space="preserve">De cada 100 personas que entran, cuántas compran.</t>
  </si>
  <si>
    <t xml:space="preserve">Ventas ÷ Transacciones</t>
  </si>
  <si>
    <t xml:space="preserve">Cuánto gasta en promedio cada compra.</t>
  </si>
  <si>
    <t xml:space="preserve">Ventas ÷ Visitantes que entran</t>
  </si>
  <si>
    <t xml:space="preserve">Cuánto vale cada persona que cruza la puerta.</t>
  </si>
  <si>
    <t xml:space="preserve">Clics ÷ Impresiones (Google)</t>
  </si>
  <si>
    <t xml:space="preserve">Qué tan atractivo es tu resultado en Google.</t>
  </si>
  <si>
    <t xml:space="preserve">Oportunidad de ventas</t>
  </si>
  <si>
    <t xml:space="preserve">(Meta conv. − Conv. real) × Visitantes × Ticket</t>
  </si>
  <si>
    <t xml:space="preserve">Dinero que dejas de vender por no alcanzar la meta.</t>
  </si>
  <si>
    <t xml:space="preserve">ROI SEO estimado</t>
  </si>
  <si>
    <t xml:space="preserve">(Ventas × % atribuible × margen − inversión SEO) ÷ inversión SEO</t>
  </si>
  <si>
    <t xml:space="preserve">Estimación: depende del % de ventas atribuibles que definas en Config.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</si>
</sst>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-#,##0;\-"/>
    <numFmt numFmtId="166" formatCode="0.0%"/>
    <numFmt numFmtId="167" formatCode="\$#,##0;&quot;($&quot;#,##0\);\-"/>
    <numFmt numFmtId="168" formatCode="0.0"/>
    <numFmt numFmtId="169" formatCode="0%"/>
    <numFmt numFmtId="170" formatCode="#,##0"/>
    <numFmt numFmtId="171" formatCode="0"/>
    <numFmt numFmtId="172" formatCode="dd/mm/yyyy"/>
    <numFmt numFmtId="173" formatCode="mmm\-yy"/>
    <numFmt numFmtId="174" formatCode="\+0;\-0;0"/>
    <numFmt numFmtId="175" formatCode="\+0.0%;\-0.0%;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F4B"/>
      <name val="Arial"/>
      <family val="0"/>
      <charset val="1"/>
    </font>
    <font>
      <i val="true"/>
      <sz val="10"/>
      <color rgb="FF3A3F4A"/>
      <name val="Arial"/>
      <family val="0"/>
      <charset val="1"/>
    </font>
    <font>
      <b val="true"/>
      <u val="single"/>
      <sz val="10"/>
      <color rgb="FF1F3A73"/>
      <name val="Arial"/>
      <family val="0"/>
      <charset val="1"/>
    </font>
    <font>
      <b val="true"/>
      <sz val="12"/>
      <color rgb="FF0B1F4B"/>
      <name val="Arial"/>
      <family val="0"/>
      <charset val="1"/>
    </font>
    <font>
      <sz val="10"/>
      <color rgb="FF3A3F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B1F4B"/>
      <name val="Arial"/>
      <family val="0"/>
      <charset val="1"/>
    </font>
    <font>
      <b val="true"/>
      <sz val="10"/>
      <color rgb="FF1F3A73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0B1F4B"/>
      <name val="Arial"/>
      <family val="0"/>
      <charset val="1"/>
    </font>
    <font>
      <i val="true"/>
      <sz val="8"/>
      <color rgb="FF3A3F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3A3F4A"/>
      <name val="Arial"/>
      <family val="0"/>
      <charset val="1"/>
    </font>
    <font>
      <b val="true"/>
      <sz val="11"/>
      <color rgb="FF0B1F4B"/>
      <name val="Arial"/>
      <family val="0"/>
      <charset val="1"/>
    </font>
    <font>
      <sz val="9"/>
      <color rgb="FF1B1B1B"/>
      <name val="Courier Ne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F4B"/>
        <bgColor rgb="FF1B1B1B"/>
      </patternFill>
    </fill>
    <fill>
      <patternFill patternType="solid">
        <fgColor rgb="FF1F3A73"/>
        <bgColor rgb="FF3A3F4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EF1F6"/>
      </patternFill>
    </fill>
    <fill>
      <patternFill patternType="solid">
        <fgColor rgb="FFE8EDF6"/>
        <bgColor rgb="FFEEF1F6"/>
      </patternFill>
    </fill>
    <fill>
      <patternFill patternType="solid">
        <fgColor rgb="FF3A3F4A"/>
        <bgColor rgb="FF1F3A73"/>
      </patternFill>
    </fill>
    <fill>
      <patternFill patternType="solid">
        <fgColor rgb="FFEEF1F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7D9"/>
      </left>
      <right style="thin">
        <color rgb="FFBFC7D9"/>
      </right>
      <top style="thin">
        <color rgb="FFBFC7D9"/>
      </top>
      <bottom style="thin">
        <color rgb="FFBFC7D9"/>
      </bottom>
      <diagonal/>
    </border>
    <border diagonalUp="false" diagonalDown="false">
      <left/>
      <right/>
      <top/>
      <bottom style="medium">
        <color rgb="FF0B1F4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rial"/>
        <charset val="1"/>
        <family val="0"/>
        <b val="1"/>
        <color rgb="FFFFFFFF"/>
      </font>
      <fill>
        <patternFill>
          <bgColor rgb="FF2E7D32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62828"/>
        </patternFill>
      </fill>
    </dxf>
    <dxf>
      <fill>
        <patternFill patternType="solid">
          <fgColor rgb="FF0B1F4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C7D9"/>
      <rgbColor rgb="FF7F7F7F"/>
      <rgbColor rgb="FF7F9BD1"/>
      <rgbColor rgb="FFC62828"/>
      <rgbColor rgb="FFFFF2CC"/>
      <rgbColor rgb="FFE8ED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6"/>
      <rgbColor rgb="FFC6EFCE"/>
      <rgbColor rgb="FFFFEB9C"/>
      <rgbColor rgb="FFF2F2F2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878787"/>
      <rgbColor rgb="FF0B1F4B"/>
      <rgbColor rgb="FF2E7D32"/>
      <rgbColor rgb="FF003300"/>
      <rgbColor rgb="FF1B1B1B"/>
      <rgbColor rgb="FF9C5700"/>
      <rgbColor rgb="FF993366"/>
      <rgbColor rgb="FF1F3A73"/>
      <rgbColor rgb="FF3A3F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Visitantes vs transacciones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Embudo!F6</c:f>
              <c:strCache>
                <c:ptCount val="1"/>
                <c:pt idx="0">
                  <c:v>Visitantes que entran</c:v>
                </c:pt>
              </c:strCache>
            </c:strRef>
          </c:tx>
          <c:spPr>
            <a:solidFill>
              <a:srgbClr val="0b1f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Embudo!$R$7:$R$18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Embudo!$F$7:$F$18</c:f>
              <c:numCache>
                <c:formatCode>#,##0;\-#,##0;\-</c:formatCode>
                <c:ptCount val="12"/>
                <c:pt idx="0">
                  <c:v>118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Embudo!G6</c:f>
              <c:strCache>
                <c:ptCount val="1"/>
                <c:pt idx="0">
                  <c:v>Transacciones</c:v>
                </c:pt>
              </c:strCache>
            </c:strRef>
          </c:tx>
          <c:spPr>
            <a:solidFill>
              <a:srgbClr val="7f9b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Embudo!$R$7:$R$18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Embudo!$G$7:$G$18</c:f>
              <c:numCache>
                <c:formatCode>#,##0;\-#,##0;\-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4393017"/>
        <c:axId val="33926845"/>
      </c:barChart>
      <c:catAx>
        <c:axId val="643930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26845"/>
        <c:crosses val="autoZero"/>
        <c:auto val="1"/>
        <c:lblAlgn val="ctr"/>
        <c:lblOffset val="100"/>
        <c:noMultiLvlLbl val="0"/>
      </c:catAx>
      <c:valAx>
        <c:axId val="33926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930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Tasa de conversión real vs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Embudo!K6</c:f>
              <c:strCache>
                <c:ptCount val="1"/>
                <c:pt idx="0">
                  <c:v>Tasa de conversión</c:v>
                </c:pt>
              </c:strCache>
            </c:strRef>
          </c:tx>
          <c:spPr>
            <a:solidFill>
              <a:srgbClr val="0b1f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Embudo!$R$7:$R$18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Embudo!$K$7:$K$18</c:f>
              <c:numCache>
                <c:formatCode>0.0%</c:formatCode>
                <c:ptCount val="12"/>
                <c:pt idx="0">
                  <c:v>0.26271186440678</c:v>
                </c:pt>
              </c:numCache>
            </c:numRef>
          </c:val>
        </c:ser>
        <c:gapWidth val="150"/>
        <c:overlap val="0"/>
        <c:axId val="29075720"/>
        <c:axId val="16966272"/>
      </c:barChart>
      <c:lineChart>
        <c:grouping val="standard"/>
        <c:varyColors val="0"/>
        <c:ser>
          <c:idx val="1"/>
          <c:order val="1"/>
          <c:tx>
            <c:strRef>
              <c:f>Embudo!N6</c:f>
              <c:strCache>
                <c:ptCount val="1"/>
                <c:pt idx="0">
                  <c:v>Meta conversión</c:v>
                </c:pt>
              </c:strCache>
            </c:strRef>
          </c:tx>
          <c:spPr>
            <a:solidFill>
              <a:srgbClr val="c62828"/>
            </a:solidFill>
            <a:ln w="2808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Embudo!$R$7:$R$18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Embudo!$N$7:$N$18</c:f>
              <c:numCache>
                <c:formatCode>0.0%</c:formatCode>
                <c:ptCount val="1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075720"/>
        <c:axId val="16966272"/>
      </c:lineChart>
      <c:catAx>
        <c:axId val="2907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66272"/>
        <c:crosses val="autoZero"/>
        <c:auto val="1"/>
        <c:lblAlgn val="ctr"/>
        <c:lblOffset val="100"/>
        <c:noMultiLvlLbl val="0"/>
      </c:catAx>
      <c:valAx>
        <c:axId val="1696627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757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1028520</xdr:colOff>
      <xdr:row>3</xdr:row>
      <xdr:rowOff>142560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028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5</xdr:col>
      <xdr:colOff>786600</xdr:colOff>
      <xdr:row>30</xdr:row>
      <xdr:rowOff>68400</xdr:rowOff>
    </xdr:to>
    <xdr:graphicFrame>
      <xdr:nvGraphicFramePr>
        <xdr:cNvPr id="1" name="Chart 1"/>
        <xdr:cNvGraphicFramePr/>
      </xdr:nvGraphicFramePr>
      <xdr:xfrm>
        <a:off x="0" y="3895560"/>
        <a:ext cx="55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0</xdr:rowOff>
    </xdr:from>
    <xdr:to>
      <xdr:col>12</xdr:col>
      <xdr:colOff>81720</xdr:colOff>
      <xdr:row>30</xdr:row>
      <xdr:rowOff>68400</xdr:rowOff>
    </xdr:to>
    <xdr:graphicFrame>
      <xdr:nvGraphicFramePr>
        <xdr:cNvPr id="2" name="Chart 2"/>
        <xdr:cNvGraphicFramePr/>
      </xdr:nvGraphicFramePr>
      <xdr:xfrm>
        <a:off x="5709240" y="3895560"/>
        <a:ext cx="55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1028520</xdr:colOff>
      <xdr:row>3</xdr:row>
      <xdr:rowOff>142560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0" y="0"/>
          <a:ext cx="1028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1028520</xdr:colOff>
      <xdr:row>3</xdr:row>
      <xdr:rowOff>142560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1028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1028520</xdr:colOff>
      <xdr:row>3</xdr:row>
      <xdr:rowOff>142560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1028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1028520</xdr:colOff>
      <xdr:row>3</xdr:row>
      <xdr:rowOff>142560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0"/>
          <a:ext cx="1028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1028520</xdr:colOff>
      <xdr:row>3</xdr:row>
      <xdr:rowOff>142560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0"/>
          <a:ext cx="1028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1028520</xdr:colOff>
      <xdr:row>3</xdr:row>
      <xdr:rowOff>142560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0"/>
          <a:ext cx="1028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1028520</xdr:colOff>
      <xdr:row>3</xdr:row>
      <xdr:rowOff>142560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0" y="0"/>
          <a:ext cx="1028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1028520</xdr:colOff>
      <xdr:row>3</xdr:row>
      <xdr:rowOff>142560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0" y="0"/>
          <a:ext cx="1028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1028520</xdr:colOff>
      <xdr:row>3</xdr:row>
      <xdr:rowOff>142560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0" y="0"/>
          <a:ext cx="1028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a.me/573337450634" TargetMode="External"/><Relationship Id="rId2" Type="http://schemas.openxmlformats.org/officeDocument/2006/relationships/hyperlink" Target="https://serviciosapc.site/" TargetMode="External"/><Relationship Id="rId3" Type="http://schemas.openxmlformats.org/officeDocument/2006/relationships/hyperlink" Target="https://wa.me/573337450634" TargetMode="External"/><Relationship Id="rId4" Type="http://schemas.openxmlformats.org/officeDocument/2006/relationships/hyperlink" Target="https://serviciosapc.site/" TargetMode="External"/><Relationship Id="rId5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a.me/573337450634" TargetMode="External"/><Relationship Id="rId2" Type="http://schemas.openxmlformats.org/officeDocument/2006/relationships/hyperlink" Target="https://serviciosapc.site/" TargetMode="External"/><Relationship Id="rId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a.me/573337450634" TargetMode="External"/><Relationship Id="rId2" Type="http://schemas.openxmlformats.org/officeDocument/2006/relationships/hyperlink" Target="https://serviciosapc.site/" TargetMode="External"/><Relationship Id="rId3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a.me/573337450634" TargetMode="External"/><Relationship Id="rId2" Type="http://schemas.openxmlformats.org/officeDocument/2006/relationships/hyperlink" Target="https://serviciosapc.site/" TargetMode="External"/><Relationship Id="rId3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a.me/573337450634" TargetMode="External"/><Relationship Id="rId2" Type="http://schemas.openxmlformats.org/officeDocument/2006/relationships/hyperlink" Target="https://serviciosapc.site/" TargetMode="External"/><Relationship Id="rId3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a.me/573337450634" TargetMode="External"/><Relationship Id="rId2" Type="http://schemas.openxmlformats.org/officeDocument/2006/relationships/hyperlink" Target="https://serviciosapc.site/" TargetMode="External"/><Relationship Id="rId3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a.me/573337450634" TargetMode="External"/><Relationship Id="rId2" Type="http://schemas.openxmlformats.org/officeDocument/2006/relationships/hyperlink" Target="https://serviciosapc.site/" TargetMode="External"/><Relationship Id="rId3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a.me/573337450634" TargetMode="External"/><Relationship Id="rId2" Type="http://schemas.openxmlformats.org/officeDocument/2006/relationships/hyperlink" Target="https://serviciosapc.site/" TargetMode="External"/><Relationship Id="rId3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a.me/573337450634" TargetMode="External"/><Relationship Id="rId2" Type="http://schemas.openxmlformats.org/officeDocument/2006/relationships/hyperlink" Target="https://serviciosapc.site/" TargetMode="External"/><Relationship Id="rId3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a.me/573337450634" TargetMode="External"/><Relationship Id="rId2" Type="http://schemas.openxmlformats.org/officeDocument/2006/relationships/hyperlink" Target="https://serviciosapc.site/" TargetMode="External"/><Relationship Id="rId3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B"/>
    <pageSetUpPr fitToPage="true"/>
  </sheetPr>
  <dimension ref="A1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74"/>
    <col collapsed="false" customWidth="true" hidden="false" outlineLevel="0" max="4" min="4" style="0" width="26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 t="s">
        <v>1</v>
      </c>
    </row>
    <row r="3" customFormat="false" ht="18" hidden="false" customHeight="true" outlineLevel="0" collapsed="false">
      <c r="B3" s="3" t="s">
        <v>2</v>
      </c>
    </row>
    <row r="4" customFormat="false" ht="18" hidden="false" customHeight="true" outlineLevel="0" collapsed="false">
      <c r="B4" s="3" t="s">
        <v>3</v>
      </c>
    </row>
    <row r="5" customFormat="false" ht="4.5" hidden="false" customHeight="true" outlineLevel="0" collapsed="false">
      <c r="A5" s="4"/>
      <c r="B5" s="4"/>
      <c r="C5" s="4"/>
      <c r="D5" s="4"/>
    </row>
    <row r="7" customFormat="false" ht="15" hidden="false" customHeight="false" outlineLevel="0" collapsed="false">
      <c r="A7" s="5" t="s">
        <v>4</v>
      </c>
    </row>
    <row r="8" customFormat="false" ht="31.5" hidden="false" customHeight="true" outlineLevel="0" collapsed="false">
      <c r="A8" s="6" t="s">
        <v>5</v>
      </c>
      <c r="B8" s="6"/>
      <c r="C8" s="6"/>
      <c r="D8" s="6"/>
    </row>
    <row r="10" customFormat="false" ht="21.75" hidden="false" customHeight="true" outlineLevel="0" collapsed="false">
      <c r="A10" s="7" t="s">
        <v>6</v>
      </c>
      <c r="B10" s="7"/>
      <c r="C10" s="7"/>
      <c r="D10" s="7"/>
    </row>
    <row r="11" customFormat="false" ht="21.75" hidden="false" customHeight="true" outlineLevel="0" collapsed="false">
      <c r="A11" s="8" t="s">
        <v>7</v>
      </c>
      <c r="B11" s="8" t="s">
        <v>8</v>
      </c>
      <c r="C11" s="8" t="s">
        <v>9</v>
      </c>
      <c r="D11" s="8" t="s">
        <v>10</v>
      </c>
    </row>
    <row r="12" customFormat="false" ht="15" hidden="false" customHeight="false" outlineLevel="0" collapsed="false">
      <c r="A12" s="9" t="s">
        <v>11</v>
      </c>
      <c r="B12" s="10" t="s">
        <v>12</v>
      </c>
      <c r="C12" s="10" t="s">
        <v>13</v>
      </c>
      <c r="D12" s="10" t="s">
        <v>14</v>
      </c>
    </row>
    <row r="13" customFormat="false" ht="15" hidden="false" customHeight="false" outlineLevel="0" collapsed="false">
      <c r="A13" s="9" t="s">
        <v>15</v>
      </c>
      <c r="B13" s="10" t="s">
        <v>16</v>
      </c>
      <c r="C13" s="10" t="s">
        <v>17</v>
      </c>
      <c r="D13" s="10" t="s">
        <v>18</v>
      </c>
    </row>
    <row r="14" customFormat="false" ht="15" hidden="false" customHeight="false" outlineLevel="0" collapsed="false">
      <c r="A14" s="9" t="s">
        <v>19</v>
      </c>
      <c r="B14" s="10" t="s">
        <v>20</v>
      </c>
      <c r="C14" s="10" t="s">
        <v>21</v>
      </c>
      <c r="D14" s="10" t="s">
        <v>22</v>
      </c>
    </row>
    <row r="15" customFormat="false" ht="15" hidden="false" customHeight="false" outlineLevel="0" collapsed="false">
      <c r="A15" s="9" t="s">
        <v>23</v>
      </c>
      <c r="B15" s="10" t="s">
        <v>20</v>
      </c>
      <c r="C15" s="10" t="s">
        <v>24</v>
      </c>
      <c r="D15" s="10" t="s">
        <v>25</v>
      </c>
    </row>
    <row r="16" customFormat="false" ht="15" hidden="false" customHeight="false" outlineLevel="0" collapsed="false">
      <c r="A16" s="9" t="s">
        <v>26</v>
      </c>
      <c r="B16" s="10" t="s">
        <v>27</v>
      </c>
      <c r="C16" s="10" t="s">
        <v>28</v>
      </c>
      <c r="D16" s="10" t="s">
        <v>29</v>
      </c>
    </row>
    <row r="17" customFormat="false" ht="15" hidden="false" customHeight="false" outlineLevel="0" collapsed="false">
      <c r="A17" s="9" t="s">
        <v>30</v>
      </c>
      <c r="B17" s="10" t="s">
        <v>27</v>
      </c>
      <c r="C17" s="10" t="s">
        <v>31</v>
      </c>
      <c r="D17" s="10" t="s">
        <v>29</v>
      </c>
    </row>
    <row r="18" customFormat="false" ht="15" hidden="false" customHeight="false" outlineLevel="0" collapsed="false">
      <c r="A18" s="9" t="s">
        <v>32</v>
      </c>
      <c r="B18" s="10" t="s">
        <v>27</v>
      </c>
      <c r="C18" s="10" t="s">
        <v>33</v>
      </c>
      <c r="D18" s="10" t="s">
        <v>34</v>
      </c>
    </row>
    <row r="19" customFormat="false" ht="15" hidden="false" customHeight="false" outlineLevel="0" collapsed="false">
      <c r="A19" s="9" t="s">
        <v>35</v>
      </c>
      <c r="B19" s="10" t="s">
        <v>12</v>
      </c>
      <c r="C19" s="10" t="s">
        <v>36</v>
      </c>
      <c r="D19" s="10" t="s">
        <v>14</v>
      </c>
    </row>
    <row r="20" customFormat="false" ht="15" hidden="false" customHeight="false" outlineLevel="0" collapsed="false">
      <c r="A20" s="9" t="s">
        <v>37</v>
      </c>
      <c r="B20" s="10" t="s">
        <v>38</v>
      </c>
      <c r="C20" s="10" t="s">
        <v>39</v>
      </c>
      <c r="D20" s="10" t="s">
        <v>40</v>
      </c>
    </row>
    <row r="22" customFormat="false" ht="21.75" hidden="false" customHeight="true" outlineLevel="0" collapsed="false">
      <c r="A22" s="7" t="s">
        <v>41</v>
      </c>
      <c r="B22" s="7"/>
      <c r="C22" s="7"/>
      <c r="D22" s="7"/>
    </row>
    <row r="23" customFormat="false" ht="15" hidden="false" customHeight="false" outlineLevel="0" collapsed="false">
      <c r="A23" s="11" t="s">
        <v>42</v>
      </c>
      <c r="B23" s="12" t="s">
        <v>43</v>
      </c>
      <c r="C23" s="13" t="s">
        <v>44</v>
      </c>
    </row>
    <row r="24" customFormat="false" ht="15" hidden="false" customHeight="false" outlineLevel="0" collapsed="false">
      <c r="A24" s="14" t="s">
        <v>45</v>
      </c>
      <c r="B24" s="12" t="s">
        <v>46</v>
      </c>
      <c r="C24" s="13" t="s">
        <v>47</v>
      </c>
    </row>
    <row r="25" customFormat="false" ht="15" hidden="false" customHeight="false" outlineLevel="0" collapsed="false">
      <c r="A25" s="15" t="s">
        <v>48</v>
      </c>
      <c r="B25" s="12" t="s">
        <v>49</v>
      </c>
      <c r="C25" s="13" t="s">
        <v>50</v>
      </c>
    </row>
    <row r="27" customFormat="false" ht="21.75" hidden="false" customHeight="true" outlineLevel="0" collapsed="false">
      <c r="A27" s="7" t="s">
        <v>51</v>
      </c>
      <c r="B27" s="7"/>
      <c r="C27" s="7"/>
      <c r="D27" s="7"/>
    </row>
    <row r="28" customFormat="false" ht="30" hidden="false" customHeight="true" outlineLevel="0" collapsed="false">
      <c r="A28" s="16" t="s">
        <v>52</v>
      </c>
      <c r="B28" s="16"/>
      <c r="C28" s="16"/>
      <c r="D28" s="16"/>
    </row>
    <row r="29" customFormat="false" ht="30" hidden="false" customHeight="true" outlineLevel="0" collapsed="false">
      <c r="A29" s="16" t="s">
        <v>53</v>
      </c>
      <c r="B29" s="16"/>
      <c r="C29" s="16"/>
      <c r="D29" s="16"/>
    </row>
    <row r="30" customFormat="false" ht="30" hidden="false" customHeight="true" outlineLevel="0" collapsed="false">
      <c r="A30" s="16" t="s">
        <v>54</v>
      </c>
      <c r="B30" s="16"/>
      <c r="C30" s="16"/>
      <c r="D30" s="16"/>
    </row>
    <row r="31" customFormat="false" ht="30" hidden="false" customHeight="true" outlineLevel="0" collapsed="false">
      <c r="A31" s="16" t="s">
        <v>55</v>
      </c>
      <c r="B31" s="16"/>
      <c r="C31" s="16"/>
      <c r="D31" s="16"/>
    </row>
    <row r="32" customFormat="false" ht="30" hidden="false" customHeight="true" outlineLevel="0" collapsed="false">
      <c r="A32" s="16" t="s">
        <v>56</v>
      </c>
      <c r="B32" s="16"/>
      <c r="C32" s="16"/>
      <c r="D32" s="16"/>
    </row>
    <row r="34" customFormat="false" ht="21.75" hidden="false" customHeight="true" outlineLevel="0" collapsed="false">
      <c r="A34" s="7" t="s">
        <v>57</v>
      </c>
      <c r="B34" s="7"/>
      <c r="C34" s="7"/>
      <c r="D34" s="7"/>
    </row>
    <row r="35" customFormat="false" ht="15" hidden="false" customHeight="false" outlineLevel="0" collapsed="false">
      <c r="A35" s="17" t="s">
        <v>58</v>
      </c>
      <c r="B35" s="13" t="s">
        <v>59</v>
      </c>
    </row>
    <row r="36" customFormat="false" ht="15" hidden="false" customHeight="false" outlineLevel="0" collapsed="false">
      <c r="A36" s="17" t="s">
        <v>60</v>
      </c>
      <c r="B36" s="13" t="s">
        <v>61</v>
      </c>
    </row>
    <row r="37" customFormat="false" ht="15" hidden="false" customHeight="false" outlineLevel="0" collapsed="false">
      <c r="A37" s="17" t="s">
        <v>62</v>
      </c>
      <c r="B37" s="3" t="s">
        <v>63</v>
      </c>
    </row>
    <row r="38" customFormat="false" ht="15" hidden="false" customHeight="false" outlineLevel="0" collapsed="false">
      <c r="A38" s="17" t="s">
        <v>64</v>
      </c>
      <c r="B38" s="3" t="s">
        <v>65</v>
      </c>
    </row>
    <row r="40" customFormat="false" ht="15" hidden="false" customHeight="true" outlineLevel="0" collapsed="false">
      <c r="A40" s="18" t="s">
        <v>66</v>
      </c>
      <c r="B40" s="18"/>
      <c r="C40" s="18"/>
      <c r="D40" s="18"/>
    </row>
    <row r="41" customFormat="false" ht="15" hidden="false" customHeight="true" outlineLevel="0" collapsed="false">
      <c r="A41" s="19" t="s">
        <v>67</v>
      </c>
      <c r="B41" s="19"/>
      <c r="C41" s="19"/>
      <c r="D41" s="19"/>
    </row>
  </sheetData>
  <mergeCells count="12">
    <mergeCell ref="A8:D8"/>
    <mergeCell ref="A10:D10"/>
    <mergeCell ref="A22:D22"/>
    <mergeCell ref="A27:D27"/>
    <mergeCell ref="A28:D28"/>
    <mergeCell ref="A29:D29"/>
    <mergeCell ref="A30:D30"/>
    <mergeCell ref="A31:D31"/>
    <mergeCell ref="A32:D32"/>
    <mergeCell ref="A34:D34"/>
    <mergeCell ref="A40:D40"/>
    <mergeCell ref="A41:D41"/>
  </mergeCells>
  <hyperlinks>
    <hyperlink ref="B3" r:id="rId1" display="APC Servicios Tecnológicos — By Alejandro Piraquive  |  WhatsApp / Tel: 333 745 0634"/>
    <hyperlink ref="B4" r:id="rId2" display="Web: serviciosapc.site"/>
    <hyperlink ref="A12" location="Dashboard!A1" display="Dashboard"/>
    <hyperlink ref="A13" location="Config!A1" display="Config"/>
    <hyperlink ref="A14" location="Datos_CCTV!A1" display="Datos_CCTV"/>
    <hyperlink ref="A15" location="Flujo_Horario!A1" display="Flujo_Horario"/>
    <hyperlink ref="A16" location="SEO_Mensual!A1" display="SEO_Mensual"/>
    <hyperlink ref="A17" location="SEO_Keywords!A1" display="SEO_Keywords"/>
    <hyperlink ref="A18" location="Checklist_SEO!A1" display="Checklist_SEO"/>
    <hyperlink ref="A19" location="Embudo!A1" display="Embudo"/>
    <hyperlink ref="A20" location="Guia_YOLO!A1" display="Guia_YOLO"/>
    <hyperlink ref="B37" r:id="rId3" display="333 745 0634"/>
    <hyperlink ref="B38" r:id="rId4" display="serviciosapc.sit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serviciosapc.site  |  Alejandro Piraquive  |  333 745 0634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B"/>
    <pageSetUpPr fitToPage="tru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2" style="0" width="13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 t="s">
        <v>68</v>
      </c>
    </row>
    <row r="3" customFormat="false" ht="18" hidden="false" customHeight="true" outlineLevel="0" collapsed="false">
      <c r="B3" s="3" t="s">
        <v>2</v>
      </c>
    </row>
    <row r="4" customFormat="false" ht="18" hidden="false" customHeight="true" outlineLevel="0" collapsed="false">
      <c r="B4" s="3" t="s">
        <v>3</v>
      </c>
    </row>
    <row r="5" customFormat="false" ht="4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5.5" hidden="false" customHeight="true" outlineLevel="0" collapsed="false">
      <c r="A6" s="20" t="str">
        <f aca="false">IF(Embudo!K19="","ESTADO DE CONVERSIÓN: sin datos aún (registra tu primera venta en Datos_CCTV)",IF(Embudo!K19&gt;=Config!$C$15,"ESTADO DE CONVERSIÓN: EN META",IF(Embudo!K19&gt;=Config!$C$15*0.8,"ESTADO DE CONVERSIÓN: CERCA DE LA META","ESTADO DE CONVERSIÓN: POR DEBAJO DE LA META")))</f>
        <v>ESTADO DE CONVERSIÓN: EN META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customFormat="false" ht="6" hidden="false" customHeight="true" outlineLevel="0" collapsed="false"/>
    <row r="8" customFormat="false" ht="19.5" hidden="false" customHeight="true" outlineLevel="0" collapsed="false">
      <c r="A8" s="21" t="s">
        <v>69</v>
      </c>
      <c r="B8" s="21"/>
      <c r="C8" s="21"/>
      <c r="D8" s="21" t="s">
        <v>70</v>
      </c>
      <c r="E8" s="21"/>
      <c r="F8" s="21"/>
      <c r="G8" s="21" t="str">
        <f aca="false">"Tasa de captación · meta "&amp;ROUND(Config!$C$14*100,1)&amp;"%"</f>
        <v>Tasa de captación · meta 8%</v>
      </c>
      <c r="H8" s="21"/>
      <c r="I8" s="21"/>
      <c r="J8" s="21" t="str">
        <f aca="false">"Tasa de conversión · meta "&amp;ROUND(Config!$C$15*100,1)&amp;"%"</f>
        <v>Tasa de conversión · meta 25%</v>
      </c>
      <c r="K8" s="21"/>
      <c r="L8" s="21"/>
    </row>
    <row r="9" customFormat="false" ht="36" hidden="false" customHeight="true" outlineLevel="0" collapsed="false">
      <c r="A9" s="22" t="n">
        <f aca="false">Embudo!F19</f>
        <v>118</v>
      </c>
      <c r="B9" s="22"/>
      <c r="C9" s="22"/>
      <c r="D9" s="22" t="n">
        <f aca="false">Embudo!E19</f>
        <v>1250</v>
      </c>
      <c r="E9" s="22"/>
      <c r="F9" s="22"/>
      <c r="G9" s="23" t="n">
        <f aca="false">Embudo!J19</f>
        <v>0.0944</v>
      </c>
      <c r="H9" s="23"/>
      <c r="I9" s="23"/>
      <c r="J9" s="23" t="n">
        <f aca="false">Embudo!K19</f>
        <v>0.26271186440678</v>
      </c>
      <c r="K9" s="23"/>
      <c r="L9" s="23"/>
    </row>
    <row r="10" customFormat="false" ht="7.5" hidden="false" customHeight="true" outlineLevel="0" collapsed="false"/>
    <row r="11" customFormat="false" ht="19.5" hidden="false" customHeight="true" outlineLevel="0" collapsed="false">
      <c r="A11" s="21" t="s">
        <v>71</v>
      </c>
      <c r="B11" s="21"/>
      <c r="C11" s="21"/>
      <c r="D11" s="21" t="s">
        <v>72</v>
      </c>
      <c r="E11" s="21"/>
      <c r="F11" s="21"/>
      <c r="G11" s="21" t="s">
        <v>73</v>
      </c>
      <c r="H11" s="21"/>
      <c r="I11" s="21"/>
      <c r="J11" s="21" t="s">
        <v>74</v>
      </c>
      <c r="K11" s="21"/>
      <c r="L11" s="21"/>
    </row>
    <row r="12" customFormat="false" ht="36" hidden="false" customHeight="true" outlineLevel="0" collapsed="false">
      <c r="A12" s="24" t="n">
        <f aca="false">Embudo!L19</f>
        <v>60000</v>
      </c>
      <c r="B12" s="24"/>
      <c r="C12" s="24"/>
      <c r="D12" s="24" t="n">
        <f aca="false">Embudo!H19</f>
        <v>1860000</v>
      </c>
      <c r="E12" s="24"/>
      <c r="F12" s="24"/>
      <c r="G12" s="24" t="n">
        <f aca="false">Embudo!M19</f>
        <v>15762.7118644068</v>
      </c>
      <c r="H12" s="24"/>
      <c r="I12" s="24"/>
      <c r="J12" s="24" t="n">
        <f aca="false">Embudo!P19</f>
        <v>0</v>
      </c>
      <c r="K12" s="24"/>
      <c r="L12" s="24"/>
    </row>
    <row r="13" customFormat="false" ht="7.5" hidden="false" customHeight="true" outlineLevel="0" collapsed="false"/>
    <row r="14" customFormat="false" ht="19.5" hidden="false" customHeight="true" outlineLevel="0" collapsed="false">
      <c r="A14" s="21" t="s">
        <v>75</v>
      </c>
      <c r="B14" s="21"/>
      <c r="C14" s="21"/>
      <c r="D14" s="21" t="s">
        <v>76</v>
      </c>
      <c r="E14" s="21"/>
      <c r="F14" s="21"/>
      <c r="G14" s="21" t="s">
        <v>77</v>
      </c>
      <c r="H14" s="21"/>
      <c r="I14" s="21"/>
      <c r="J14" s="21" t="s">
        <v>78</v>
      </c>
      <c r="K14" s="21"/>
      <c r="L14" s="21"/>
    </row>
    <row r="15" customFormat="false" ht="36" hidden="false" customHeight="true" outlineLevel="0" collapsed="false">
      <c r="A15" s="22" t="n">
        <f aca="false">Embudo!C19</f>
        <v>1850</v>
      </c>
      <c r="B15" s="22"/>
      <c r="C15" s="22"/>
      <c r="D15" s="25" t="n">
        <f aca="false">SEO_Mensual!E19</f>
        <v>14.2</v>
      </c>
      <c r="E15" s="25"/>
      <c r="F15" s="25"/>
      <c r="G15" s="26" t="n">
        <f aca="false">IFERROR((Embudo!H19*Config!$C$17*Config!$C$16-Config!$C$20*COUNTIF(Embudo!H7:H18,"&gt;0"))/(Config!$C$20*COUNTIF(Embudo!H7:H18,"&gt;0")),"")</f>
        <v>-0.8915</v>
      </c>
      <c r="H15" s="26"/>
      <c r="I15" s="26"/>
      <c r="J15" s="26" t="n">
        <f aca="false">Checklist_SEO!C30</f>
        <v>0</v>
      </c>
      <c r="K15" s="26"/>
      <c r="L15" s="26"/>
    </row>
    <row r="16" customFormat="false" ht="7.5" hidden="false" customHeight="true" outlineLevel="0" collapsed="false"/>
    <row r="33" customFormat="false" ht="21.75" hidden="false" customHeight="true" outlineLevel="0" collapsed="false">
      <c r="A33" s="7" t="s">
        <v>79</v>
      </c>
      <c r="B33" s="7"/>
      <c r="C33" s="7"/>
      <c r="D33" s="7"/>
      <c r="E33" s="7"/>
      <c r="F33" s="7"/>
      <c r="H33" s="7" t="s">
        <v>80</v>
      </c>
      <c r="I33" s="7"/>
      <c r="J33" s="7"/>
      <c r="K33" s="7"/>
      <c r="L33" s="7"/>
    </row>
    <row r="34" customFormat="false" ht="30" hidden="false" customHeight="true" outlineLevel="0" collapsed="false">
      <c r="A34" s="8" t="s">
        <v>81</v>
      </c>
      <c r="B34" s="8"/>
      <c r="C34" s="8"/>
      <c r="D34" s="8" t="s">
        <v>82</v>
      </c>
      <c r="E34" s="8" t="s">
        <v>83</v>
      </c>
      <c r="F34" s="8"/>
      <c r="H34" s="27" t="str">
        <f aca="false">IF(Embudo!J19="","Captación: sin datos aún","Captación: "&amp;ROUND(Embudo!J19*100,1)&amp;"% (meta "&amp;ROUND(Config!$C$14*100,1)&amp;"%)"&amp;IF(Embudo!J19&gt;=Config!$C$14," – en meta"," – por mejorar: fachada, vitrina y oferta visible"))</f>
        <v>Captación: 9.4% (meta 8%) – en meta</v>
      </c>
      <c r="I34" s="27"/>
      <c r="J34" s="27"/>
      <c r="K34" s="27"/>
      <c r="L34" s="27"/>
    </row>
    <row r="35" customFormat="false" ht="15" hidden="false" customHeight="false" outlineLevel="0" collapsed="false">
      <c r="A35" s="28" t="s">
        <v>84</v>
      </c>
      <c r="B35" s="28"/>
      <c r="C35" s="28"/>
      <c r="D35" s="29" t="n">
        <f aca="false">Embudo!B19</f>
        <v>42000</v>
      </c>
      <c r="E35" s="30" t="s">
        <v>85</v>
      </c>
      <c r="F35" s="30"/>
      <c r="H35" s="27"/>
      <c r="I35" s="27"/>
      <c r="J35" s="27"/>
      <c r="K35" s="27"/>
      <c r="L35" s="27"/>
    </row>
    <row r="36" customFormat="false" ht="15" hidden="false" customHeight="false" outlineLevel="0" collapsed="false">
      <c r="A36" s="28" t="s">
        <v>86</v>
      </c>
      <c r="B36" s="28"/>
      <c r="C36" s="28"/>
      <c r="D36" s="29" t="n">
        <f aca="false">Embudo!C19</f>
        <v>1850</v>
      </c>
      <c r="E36" s="30" t="n">
        <f aca="false">IF(D35=0,"",D36/D35)</f>
        <v>0.0440476190476191</v>
      </c>
      <c r="F36" s="30"/>
      <c r="H36" s="27" t="str">
        <f aca="false">IF(Embudo!K19="","Conversión: sin datos aún","Conversión: "&amp;ROUND(Embudo!K19*100,1)&amp;"% (meta "&amp;ROUND(Config!$C$15*100,1)&amp;"%)"&amp;IF(Embudo!K19&gt;=Config!$C$15," – en meta"," – por mejorar: atención en piso, precios y stock"))</f>
        <v>Conversión: 26.3% (meta 25%) – en meta</v>
      </c>
      <c r="I36" s="27"/>
      <c r="J36" s="27"/>
      <c r="K36" s="27"/>
      <c r="L36" s="27"/>
    </row>
    <row r="37" customFormat="false" ht="15" hidden="false" customHeight="false" outlineLevel="0" collapsed="false">
      <c r="A37" s="28" t="s">
        <v>87</v>
      </c>
      <c r="B37" s="28"/>
      <c r="C37" s="28"/>
      <c r="D37" s="29" t="n">
        <f aca="false">Embudo!D19</f>
        <v>364</v>
      </c>
      <c r="E37" s="30" t="n">
        <f aca="false">IF(D36=0,"",D37/D36)</f>
        <v>0.196756756756757</v>
      </c>
      <c r="F37" s="30"/>
      <c r="H37" s="27"/>
      <c r="I37" s="27"/>
      <c r="J37" s="27"/>
      <c r="K37" s="27"/>
      <c r="L37" s="27"/>
    </row>
    <row r="38" customFormat="false" ht="15" hidden="false" customHeight="false" outlineLevel="0" collapsed="false">
      <c r="A38" s="28" t="s">
        <v>70</v>
      </c>
      <c r="B38" s="28"/>
      <c r="C38" s="28"/>
      <c r="D38" s="29" t="n">
        <f aca="false">Embudo!E19</f>
        <v>1250</v>
      </c>
      <c r="E38" s="30" t="s">
        <v>85</v>
      </c>
      <c r="F38" s="30"/>
      <c r="H38" s="27" t="str">
        <f aca="false">IF(Embudo!I19="","CTR orgánico: sin datos aún","CTR orgánico: "&amp;ROUND(Embudo!I19*100,1)&amp;"%"&amp;IF(Embudo!I19&lt;0.03," – optimiza titles y meta descriptions"," – buen nivel"))</f>
        <v>CTR orgánico: 4.4% – buen nivel</v>
      </c>
      <c r="I38" s="27"/>
      <c r="J38" s="27"/>
      <c r="K38" s="27"/>
      <c r="L38" s="27"/>
    </row>
    <row r="39" customFormat="false" ht="15" hidden="false" customHeight="false" outlineLevel="0" collapsed="false">
      <c r="A39" s="28" t="s">
        <v>88</v>
      </c>
      <c r="B39" s="28"/>
      <c r="C39" s="28"/>
      <c r="D39" s="29" t="n">
        <f aca="false">Embudo!F19</f>
        <v>118</v>
      </c>
      <c r="E39" s="30" t="n">
        <f aca="false">IF(D38=0,"",D39/D38)</f>
        <v>0.0944</v>
      </c>
      <c r="F39" s="30"/>
      <c r="H39" s="27"/>
      <c r="I39" s="27"/>
      <c r="J39" s="27"/>
      <c r="K39" s="27"/>
      <c r="L39" s="27"/>
    </row>
    <row r="40" customFormat="false" ht="15" hidden="false" customHeight="false" outlineLevel="0" collapsed="false">
      <c r="A40" s="28" t="s">
        <v>89</v>
      </c>
      <c r="B40" s="28"/>
      <c r="C40" s="28"/>
      <c r="D40" s="29" t="n">
        <f aca="false">Embudo!G19</f>
        <v>31</v>
      </c>
      <c r="E40" s="30" t="n">
        <f aca="false">IF(D39=0,"",D40/D39)</f>
        <v>0.26271186440678</v>
      </c>
      <c r="F40" s="30"/>
      <c r="H40" s="27" t="str">
        <f aca="false">"Franja pico: "&amp;Flujo_Horario!C26&amp;"  ·  Día más fuerte: "&amp;Flujo_Horario!C27</f>
        <v>Franja pico: 12:00-13:00  ·  Día más fuerte: Sáb</v>
      </c>
      <c r="I40" s="27"/>
      <c r="J40" s="27"/>
      <c r="K40" s="27"/>
      <c r="L40" s="27"/>
    </row>
    <row r="41" customFormat="false" ht="24" hidden="false" customHeight="true" outlineLevel="0" collapsed="false">
      <c r="A41" s="31" t="s">
        <v>90</v>
      </c>
      <c r="B41" s="31"/>
      <c r="C41" s="31"/>
      <c r="D41" s="31"/>
      <c r="E41" s="31"/>
      <c r="F41" s="31"/>
      <c r="H41" s="27"/>
      <c r="I41" s="27"/>
      <c r="J41" s="27"/>
      <c r="K41" s="27"/>
      <c r="L41" s="27"/>
    </row>
  </sheetData>
  <mergeCells count="46">
    <mergeCell ref="A6:L6"/>
    <mergeCell ref="A8:C8"/>
    <mergeCell ref="D8:F8"/>
    <mergeCell ref="G8:I8"/>
    <mergeCell ref="J8:L8"/>
    <mergeCell ref="A9:C9"/>
    <mergeCell ref="D9:F9"/>
    <mergeCell ref="G9:I9"/>
    <mergeCell ref="J9:L9"/>
    <mergeCell ref="A11:C11"/>
    <mergeCell ref="D11:F11"/>
    <mergeCell ref="G11:I11"/>
    <mergeCell ref="J11:L11"/>
    <mergeCell ref="A12:C12"/>
    <mergeCell ref="D12:F12"/>
    <mergeCell ref="G12:I12"/>
    <mergeCell ref="J12:L12"/>
    <mergeCell ref="A14:C14"/>
    <mergeCell ref="D14:F14"/>
    <mergeCell ref="G14:I14"/>
    <mergeCell ref="J14:L14"/>
    <mergeCell ref="A15:C15"/>
    <mergeCell ref="D15:F15"/>
    <mergeCell ref="G15:I15"/>
    <mergeCell ref="J15:L15"/>
    <mergeCell ref="A33:F33"/>
    <mergeCell ref="H33:L33"/>
    <mergeCell ref="A34:C34"/>
    <mergeCell ref="E34:F34"/>
    <mergeCell ref="H34:L35"/>
    <mergeCell ref="A35:C35"/>
    <mergeCell ref="E35:F35"/>
    <mergeCell ref="A36:C36"/>
    <mergeCell ref="E36:F36"/>
    <mergeCell ref="H36:L37"/>
    <mergeCell ref="A37:C37"/>
    <mergeCell ref="E37:F37"/>
    <mergeCell ref="A38:C38"/>
    <mergeCell ref="E38:F38"/>
    <mergeCell ref="H38:L39"/>
    <mergeCell ref="A39:C39"/>
    <mergeCell ref="E39:F39"/>
    <mergeCell ref="A40:C40"/>
    <mergeCell ref="E40:F40"/>
    <mergeCell ref="H40:L41"/>
    <mergeCell ref="A41:F41"/>
  </mergeCells>
  <conditionalFormatting sqref="A6">
    <cfRule type="expression" priority="2" aboveAverage="0" equalAverage="0" bottom="0" percent="0" rank="0" text="" dxfId="0">
      <formula>ISNUMBER(SEARCH("EN META",$A$6))*NOT(ISNUMBER(SEARCH("CERCA",$A$6)))*NOT(ISNUMBER(SEARCH("DEBAJO",$A$6)))&gt;0</formula>
    </cfRule>
    <cfRule type="expression" priority="3" aboveAverage="0" equalAverage="0" bottom="0" percent="0" rank="0" text="" dxfId="1">
      <formula>ISNUMBER(SEARCH("CERCA",$A$6))</formula>
    </cfRule>
    <cfRule type="expression" priority="4" aboveAverage="0" equalAverage="0" bottom="0" percent="0" rank="0" text="" dxfId="2">
      <formula>ISNUMBER(SEARCH("DEBAJO",$A$6))</formula>
    </cfRule>
  </conditionalFormatting>
  <hyperlinks>
    <hyperlink ref="B3" r:id="rId1" display="APC Servicios Tecnológicos — By Alejandro Piraquive  |  WhatsApp / Tel: 333 745 0634"/>
    <hyperlink ref="B4" r:id="rId2" display="Web: serviciosapc.sit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serviciosapc.site  |  Alejandro Piraquive  |  333 745 0634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B"/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4" min="4" style="0" width="70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 t="s">
        <v>91</v>
      </c>
    </row>
    <row r="3" customFormat="false" ht="18" hidden="false" customHeight="true" outlineLevel="0" collapsed="false">
      <c r="B3" s="3" t="s">
        <v>2</v>
      </c>
    </row>
    <row r="4" customFormat="false" ht="18" hidden="false" customHeight="true" outlineLevel="0" collapsed="false">
      <c r="B4" s="3" t="s">
        <v>3</v>
      </c>
    </row>
    <row r="5" customFormat="false" ht="4.5" hidden="false" customHeight="true" outlineLevel="0" collapsed="false">
      <c r="A5" s="4"/>
      <c r="B5" s="4"/>
      <c r="C5" s="4"/>
      <c r="D5" s="4"/>
    </row>
    <row r="6" customFormat="false" ht="21.75" hidden="false" customHeight="true" outlineLevel="0" collapsed="false">
      <c r="A6" s="8"/>
      <c r="B6" s="8" t="s">
        <v>92</v>
      </c>
      <c r="C6" s="8" t="s">
        <v>93</v>
      </c>
      <c r="D6" s="8" t="s">
        <v>94</v>
      </c>
    </row>
    <row r="7" customFormat="false" ht="21.75" hidden="false" customHeight="true" outlineLevel="0" collapsed="false">
      <c r="B7" s="7" t="s">
        <v>95</v>
      </c>
      <c r="C7" s="7"/>
      <c r="D7" s="7"/>
    </row>
    <row r="8" customFormat="false" ht="30" hidden="false" customHeight="true" outlineLevel="0" collapsed="false">
      <c r="B8" s="32" t="s">
        <v>96</v>
      </c>
      <c r="C8" s="33" t="s">
        <v>97</v>
      </c>
      <c r="D8" s="34" t="s">
        <v>98</v>
      </c>
    </row>
    <row r="9" customFormat="false" ht="30" hidden="false" customHeight="true" outlineLevel="0" collapsed="false">
      <c r="B9" s="32" t="s">
        <v>99</v>
      </c>
      <c r="C9" s="33" t="s">
        <v>100</v>
      </c>
      <c r="D9" s="34" t="s">
        <v>101</v>
      </c>
    </row>
    <row r="10" customFormat="false" ht="30" hidden="false" customHeight="true" outlineLevel="0" collapsed="false">
      <c r="B10" s="32" t="s">
        <v>102</v>
      </c>
      <c r="C10" s="33" t="s">
        <v>103</v>
      </c>
      <c r="D10" s="34" t="s">
        <v>104</v>
      </c>
    </row>
    <row r="11" customFormat="false" ht="30" hidden="false" customHeight="true" outlineLevel="0" collapsed="false">
      <c r="B11" s="32" t="s">
        <v>105</v>
      </c>
      <c r="C11" s="35" t="n">
        <v>2026</v>
      </c>
      <c r="D11" s="34" t="s">
        <v>106</v>
      </c>
    </row>
    <row r="12" customFormat="false" ht="30" hidden="false" customHeight="true" outlineLevel="0" collapsed="false">
      <c r="B12" s="32" t="s">
        <v>107</v>
      </c>
      <c r="C12" s="33" t="s">
        <v>108</v>
      </c>
      <c r="D12" s="34" t="s">
        <v>109</v>
      </c>
    </row>
    <row r="13" customFormat="false" ht="21.75" hidden="false" customHeight="true" outlineLevel="0" collapsed="false">
      <c r="B13" s="7" t="s">
        <v>110</v>
      </c>
      <c r="C13" s="7"/>
      <c r="D13" s="7"/>
    </row>
    <row r="14" customFormat="false" ht="30" hidden="false" customHeight="true" outlineLevel="0" collapsed="false">
      <c r="B14" s="32" t="s">
        <v>111</v>
      </c>
      <c r="C14" s="36" t="n">
        <v>0.08</v>
      </c>
      <c r="D14" s="34" t="s">
        <v>112</v>
      </c>
    </row>
    <row r="15" customFormat="false" ht="30" hidden="false" customHeight="true" outlineLevel="0" collapsed="false">
      <c r="B15" s="32" t="s">
        <v>113</v>
      </c>
      <c r="C15" s="36" t="n">
        <v>0.25</v>
      </c>
      <c r="D15" s="34" t="s">
        <v>114</v>
      </c>
    </row>
    <row r="16" customFormat="false" ht="30" hidden="false" customHeight="true" outlineLevel="0" collapsed="false">
      <c r="B16" s="32" t="s">
        <v>115</v>
      </c>
      <c r="C16" s="36" t="n">
        <v>0.35</v>
      </c>
      <c r="D16" s="34" t="s">
        <v>116</v>
      </c>
    </row>
    <row r="17" customFormat="false" ht="30" hidden="false" customHeight="true" outlineLevel="0" collapsed="false">
      <c r="B17" s="32" t="s">
        <v>117</v>
      </c>
      <c r="C17" s="36" t="n">
        <v>0.2</v>
      </c>
      <c r="D17" s="34" t="s">
        <v>118</v>
      </c>
    </row>
    <row r="18" customFormat="false" ht="30" hidden="false" customHeight="true" outlineLevel="0" collapsed="false">
      <c r="B18" s="32" t="s">
        <v>119</v>
      </c>
      <c r="C18" s="35" t="n">
        <v>12</v>
      </c>
      <c r="D18" s="34" t="s">
        <v>120</v>
      </c>
    </row>
    <row r="19" customFormat="false" ht="21.75" hidden="false" customHeight="true" outlineLevel="0" collapsed="false">
      <c r="B19" s="7" t="s">
        <v>121</v>
      </c>
      <c r="C19" s="7"/>
      <c r="D19" s="7"/>
    </row>
    <row r="20" customFormat="false" ht="30" hidden="false" customHeight="true" outlineLevel="0" collapsed="false">
      <c r="B20" s="32" t="s">
        <v>122</v>
      </c>
      <c r="C20" s="37" t="n">
        <v>1200000</v>
      </c>
      <c r="D20" s="34" t="s">
        <v>123</v>
      </c>
    </row>
  </sheetData>
  <mergeCells count="3">
    <mergeCell ref="B7:D7"/>
    <mergeCell ref="B13:D13"/>
    <mergeCell ref="B19:D19"/>
  </mergeCells>
  <dataValidations count="2">
    <dataValidation allowBlank="false" error="Escribe un porcentaje entre 0% y 100%." errorStyle="stop" errorTitle="Valor inválido" operator="between" showDropDown="false" showErrorMessage="true" showInputMessage="false" sqref="C14:C17" type="decimal">
      <formula1>0</formula1>
      <formula2>1</formula2>
    </dataValidation>
    <dataValidation allowBlank="false" error="Escribe un año entre 2020 y 2100." errorStyle="stop" errorTitle="Año inválido" operator="between" showDropDown="false" showErrorMessage="true" showInputMessage="false" sqref="C11" type="whole">
      <formula1>2020</formula1>
      <formula2>2100</formula2>
    </dataValidation>
  </dataValidations>
  <hyperlinks>
    <hyperlink ref="B3" r:id="rId1" display="APC Servicios Tecnológicos — By Alejandro Piraquive  |  WhatsApp / Tel: 333 745 0634"/>
    <hyperlink ref="B4" r:id="rId2" display="Web: serviciosapc.sit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serviciosapc.site  |  Alejandro Piraquive  |  333 745 0634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B"/>
    <pageSetUpPr fitToPage="true"/>
  </sheetPr>
  <dimension ref="A1:O3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34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 t="s">
        <v>124</v>
      </c>
    </row>
    <row r="3" customFormat="false" ht="18" hidden="false" customHeight="true" outlineLevel="0" collapsed="false">
      <c r="B3" s="3" t="s">
        <v>2</v>
      </c>
    </row>
    <row r="4" customFormat="false" ht="18" hidden="false" customHeight="true" outlineLevel="0" collapsed="false">
      <c r="B4" s="3" t="s">
        <v>3</v>
      </c>
    </row>
    <row r="5" customFormat="false" ht="4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55.5" hidden="false" customHeight="true" outlineLevel="0" collapsed="false">
      <c r="A6" s="8" t="s">
        <v>125</v>
      </c>
      <c r="B6" s="8" t="s">
        <v>126</v>
      </c>
      <c r="C6" s="8" t="s">
        <v>127</v>
      </c>
      <c r="D6" s="8" t="s">
        <v>128</v>
      </c>
      <c r="E6" s="8" t="s">
        <v>129</v>
      </c>
      <c r="F6" s="8" t="s">
        <v>130</v>
      </c>
      <c r="G6" s="8" t="s">
        <v>131</v>
      </c>
      <c r="H6" s="8" t="s">
        <v>132</v>
      </c>
      <c r="I6" s="8" t="s">
        <v>133</v>
      </c>
      <c r="J6" s="8" t="s">
        <v>134</v>
      </c>
      <c r="K6" s="8" t="s">
        <v>135</v>
      </c>
      <c r="L6" s="8" t="s">
        <v>136</v>
      </c>
      <c r="M6" s="8" t="s">
        <v>71</v>
      </c>
      <c r="N6" s="8" t="s">
        <v>73</v>
      </c>
      <c r="O6" s="8" t="s">
        <v>137</v>
      </c>
    </row>
    <row r="7" customFormat="false" ht="15" hidden="false" customHeight="false" outlineLevel="0" collapsed="false">
      <c r="A7" s="38" t="n">
        <v>46027</v>
      </c>
      <c r="B7" s="39" t="str">
        <f aca="false">IF(A7="","",CHOOSE(WEEKDAY(A7,2),"Lun","Mar","Mié","Jue","Vie","Sáb","Dom"))</f>
        <v>Lun</v>
      </c>
      <c r="C7" s="11" t="s">
        <v>138</v>
      </c>
      <c r="D7" s="40" t="n">
        <v>1250</v>
      </c>
      <c r="E7" s="40" t="n">
        <v>118</v>
      </c>
      <c r="F7" s="40" t="n">
        <v>112</v>
      </c>
      <c r="G7" s="41" t="n">
        <v>14</v>
      </c>
      <c r="H7" s="42" t="s">
        <v>139</v>
      </c>
      <c r="I7" s="40" t="n">
        <v>31</v>
      </c>
      <c r="J7" s="43" t="n">
        <v>1860000</v>
      </c>
      <c r="K7" s="44" t="n">
        <f aca="false">IF(N(D7)=0,"",E7/D7)</f>
        <v>0.0944</v>
      </c>
      <c r="L7" s="44" t="n">
        <f aca="false">IF(N(E7)=0,"",I7/E7)</f>
        <v>0.26271186440678</v>
      </c>
      <c r="M7" s="45" t="n">
        <f aca="false">IF(N(I7)=0,"",J7/I7)</f>
        <v>60000</v>
      </c>
      <c r="N7" s="45" t="n">
        <f aca="false">IF(N(E7)=0,"",J7/E7)</f>
        <v>15762.7118644068</v>
      </c>
      <c r="O7" s="11" t="s">
        <v>140</v>
      </c>
    </row>
    <row r="8" customFormat="false" ht="15" hidden="false" customHeight="false" outlineLevel="0" collapsed="false">
      <c r="A8" s="38"/>
      <c r="B8" s="39" t="str">
        <f aca="false">IF(A8="","",CHOOSE(WEEKDAY(A8,2),"Lun","Mar","Mié","Jue","Vie","Sáb","Dom"))</f>
        <v/>
      </c>
      <c r="C8" s="11"/>
      <c r="D8" s="40"/>
      <c r="E8" s="40"/>
      <c r="F8" s="40"/>
      <c r="G8" s="41"/>
      <c r="H8" s="42"/>
      <c r="I8" s="40"/>
      <c r="J8" s="43"/>
      <c r="K8" s="44" t="str">
        <f aca="false">IF(N(D8)=0,"",E8/D8)</f>
        <v/>
      </c>
      <c r="L8" s="44" t="str">
        <f aca="false">IF(N(E8)=0,"",I8/E8)</f>
        <v/>
      </c>
      <c r="M8" s="45" t="str">
        <f aca="false">IF(N(I8)=0,"",J8/I8)</f>
        <v/>
      </c>
      <c r="N8" s="45" t="str">
        <f aca="false">IF(N(E8)=0,"",J8/E8)</f>
        <v/>
      </c>
      <c r="O8" s="11"/>
    </row>
    <row r="9" customFormat="false" ht="15" hidden="false" customHeight="false" outlineLevel="0" collapsed="false">
      <c r="A9" s="38"/>
      <c r="B9" s="39" t="str">
        <f aca="false">IF(A9="","",CHOOSE(WEEKDAY(A9,2),"Lun","Mar","Mié","Jue","Vie","Sáb","Dom"))</f>
        <v/>
      </c>
      <c r="C9" s="11"/>
      <c r="D9" s="40"/>
      <c r="E9" s="40"/>
      <c r="F9" s="40"/>
      <c r="G9" s="41"/>
      <c r="H9" s="42"/>
      <c r="I9" s="40"/>
      <c r="J9" s="43"/>
      <c r="K9" s="44" t="str">
        <f aca="false">IF(N(D9)=0,"",E9/D9)</f>
        <v/>
      </c>
      <c r="L9" s="44" t="str">
        <f aca="false">IF(N(E9)=0,"",I9/E9)</f>
        <v/>
      </c>
      <c r="M9" s="45" t="str">
        <f aca="false">IF(N(I9)=0,"",J9/I9)</f>
        <v/>
      </c>
      <c r="N9" s="45" t="str">
        <f aca="false">IF(N(E9)=0,"",J9/E9)</f>
        <v/>
      </c>
      <c r="O9" s="11"/>
    </row>
    <row r="10" customFormat="false" ht="15" hidden="false" customHeight="false" outlineLevel="0" collapsed="false">
      <c r="A10" s="38"/>
      <c r="B10" s="39" t="str">
        <f aca="false">IF(A10="","",CHOOSE(WEEKDAY(A10,2),"Lun","Mar","Mié","Jue","Vie","Sáb","Dom"))</f>
        <v/>
      </c>
      <c r="C10" s="11"/>
      <c r="D10" s="40"/>
      <c r="E10" s="40"/>
      <c r="F10" s="40"/>
      <c r="G10" s="41"/>
      <c r="H10" s="42"/>
      <c r="I10" s="40"/>
      <c r="J10" s="43"/>
      <c r="K10" s="44" t="str">
        <f aca="false">IF(N(D10)=0,"",E10/D10)</f>
        <v/>
      </c>
      <c r="L10" s="44" t="str">
        <f aca="false">IF(N(E10)=0,"",I10/E10)</f>
        <v/>
      </c>
      <c r="M10" s="45" t="str">
        <f aca="false">IF(N(I10)=0,"",J10/I10)</f>
        <v/>
      </c>
      <c r="N10" s="45" t="str">
        <f aca="false">IF(N(E10)=0,"",J10/E10)</f>
        <v/>
      </c>
      <c r="O10" s="11"/>
    </row>
    <row r="11" customFormat="false" ht="15" hidden="false" customHeight="false" outlineLevel="0" collapsed="false">
      <c r="A11" s="38"/>
      <c r="B11" s="39" t="str">
        <f aca="false">IF(A11="","",CHOOSE(WEEKDAY(A11,2),"Lun","Mar","Mié","Jue","Vie","Sáb","Dom"))</f>
        <v/>
      </c>
      <c r="C11" s="11"/>
      <c r="D11" s="40"/>
      <c r="E11" s="40"/>
      <c r="F11" s="40"/>
      <c r="G11" s="41"/>
      <c r="H11" s="42"/>
      <c r="I11" s="40"/>
      <c r="J11" s="43"/>
      <c r="K11" s="44" t="str">
        <f aca="false">IF(N(D11)=0,"",E11/D11)</f>
        <v/>
      </c>
      <c r="L11" s="44" t="str">
        <f aca="false">IF(N(E11)=0,"",I11/E11)</f>
        <v/>
      </c>
      <c r="M11" s="45" t="str">
        <f aca="false">IF(N(I11)=0,"",J11/I11)</f>
        <v/>
      </c>
      <c r="N11" s="45" t="str">
        <f aca="false">IF(N(E11)=0,"",J11/E11)</f>
        <v/>
      </c>
      <c r="O11" s="11"/>
    </row>
    <row r="12" customFormat="false" ht="15" hidden="false" customHeight="false" outlineLevel="0" collapsed="false">
      <c r="A12" s="38"/>
      <c r="B12" s="39" t="str">
        <f aca="false">IF(A12="","",CHOOSE(WEEKDAY(A12,2),"Lun","Mar","Mié","Jue","Vie","Sáb","Dom"))</f>
        <v/>
      </c>
      <c r="C12" s="11"/>
      <c r="D12" s="40"/>
      <c r="E12" s="40"/>
      <c r="F12" s="40"/>
      <c r="G12" s="41"/>
      <c r="H12" s="42"/>
      <c r="I12" s="40"/>
      <c r="J12" s="43"/>
      <c r="K12" s="44" t="str">
        <f aca="false">IF(N(D12)=0,"",E12/D12)</f>
        <v/>
      </c>
      <c r="L12" s="44" t="str">
        <f aca="false">IF(N(E12)=0,"",I12/E12)</f>
        <v/>
      </c>
      <c r="M12" s="45" t="str">
        <f aca="false">IF(N(I12)=0,"",J12/I12)</f>
        <v/>
      </c>
      <c r="N12" s="45" t="str">
        <f aca="false">IF(N(E12)=0,"",J12/E12)</f>
        <v/>
      </c>
      <c r="O12" s="11"/>
    </row>
    <row r="13" customFormat="false" ht="15" hidden="false" customHeight="false" outlineLevel="0" collapsed="false">
      <c r="A13" s="38"/>
      <c r="B13" s="39" t="str">
        <f aca="false">IF(A13="","",CHOOSE(WEEKDAY(A13,2),"Lun","Mar","Mié","Jue","Vie","Sáb","Dom"))</f>
        <v/>
      </c>
      <c r="C13" s="11"/>
      <c r="D13" s="40"/>
      <c r="E13" s="40"/>
      <c r="F13" s="40"/>
      <c r="G13" s="41"/>
      <c r="H13" s="42"/>
      <c r="I13" s="40"/>
      <c r="J13" s="43"/>
      <c r="K13" s="44" t="str">
        <f aca="false">IF(N(D13)=0,"",E13/D13)</f>
        <v/>
      </c>
      <c r="L13" s="44" t="str">
        <f aca="false">IF(N(E13)=0,"",I13/E13)</f>
        <v/>
      </c>
      <c r="M13" s="45" t="str">
        <f aca="false">IF(N(I13)=0,"",J13/I13)</f>
        <v/>
      </c>
      <c r="N13" s="45" t="str">
        <f aca="false">IF(N(E13)=0,"",J13/E13)</f>
        <v/>
      </c>
      <c r="O13" s="11"/>
    </row>
    <row r="14" customFormat="false" ht="15" hidden="false" customHeight="false" outlineLevel="0" collapsed="false">
      <c r="A14" s="38"/>
      <c r="B14" s="39" t="str">
        <f aca="false">IF(A14="","",CHOOSE(WEEKDAY(A14,2),"Lun","Mar","Mié","Jue","Vie","Sáb","Dom"))</f>
        <v/>
      </c>
      <c r="C14" s="11"/>
      <c r="D14" s="40"/>
      <c r="E14" s="40"/>
      <c r="F14" s="40"/>
      <c r="G14" s="41"/>
      <c r="H14" s="42"/>
      <c r="I14" s="40"/>
      <c r="J14" s="43"/>
      <c r="K14" s="44" t="str">
        <f aca="false">IF(N(D14)=0,"",E14/D14)</f>
        <v/>
      </c>
      <c r="L14" s="44" t="str">
        <f aca="false">IF(N(E14)=0,"",I14/E14)</f>
        <v/>
      </c>
      <c r="M14" s="45" t="str">
        <f aca="false">IF(N(I14)=0,"",J14/I14)</f>
        <v/>
      </c>
      <c r="N14" s="45" t="str">
        <f aca="false">IF(N(E14)=0,"",J14/E14)</f>
        <v/>
      </c>
      <c r="O14" s="11"/>
    </row>
    <row r="15" customFormat="false" ht="15" hidden="false" customHeight="false" outlineLevel="0" collapsed="false">
      <c r="A15" s="38"/>
      <c r="B15" s="39" t="str">
        <f aca="false">IF(A15="","",CHOOSE(WEEKDAY(A15,2),"Lun","Mar","Mié","Jue","Vie","Sáb","Dom"))</f>
        <v/>
      </c>
      <c r="C15" s="11"/>
      <c r="D15" s="40"/>
      <c r="E15" s="40"/>
      <c r="F15" s="40"/>
      <c r="G15" s="41"/>
      <c r="H15" s="42"/>
      <c r="I15" s="40"/>
      <c r="J15" s="43"/>
      <c r="K15" s="44" t="str">
        <f aca="false">IF(N(D15)=0,"",E15/D15)</f>
        <v/>
      </c>
      <c r="L15" s="44" t="str">
        <f aca="false">IF(N(E15)=0,"",I15/E15)</f>
        <v/>
      </c>
      <c r="M15" s="45" t="str">
        <f aca="false">IF(N(I15)=0,"",J15/I15)</f>
        <v/>
      </c>
      <c r="N15" s="45" t="str">
        <f aca="false">IF(N(E15)=0,"",J15/E15)</f>
        <v/>
      </c>
      <c r="O15" s="11"/>
    </row>
    <row r="16" customFormat="false" ht="15" hidden="false" customHeight="false" outlineLevel="0" collapsed="false">
      <c r="A16" s="38"/>
      <c r="B16" s="39" t="str">
        <f aca="false">IF(A16="","",CHOOSE(WEEKDAY(A16,2),"Lun","Mar","Mié","Jue","Vie","Sáb","Dom"))</f>
        <v/>
      </c>
      <c r="C16" s="11"/>
      <c r="D16" s="40"/>
      <c r="E16" s="40"/>
      <c r="F16" s="40"/>
      <c r="G16" s="41"/>
      <c r="H16" s="42"/>
      <c r="I16" s="40"/>
      <c r="J16" s="43"/>
      <c r="K16" s="44" t="str">
        <f aca="false">IF(N(D16)=0,"",E16/D16)</f>
        <v/>
      </c>
      <c r="L16" s="44" t="str">
        <f aca="false">IF(N(E16)=0,"",I16/E16)</f>
        <v/>
      </c>
      <c r="M16" s="45" t="str">
        <f aca="false">IF(N(I16)=0,"",J16/I16)</f>
        <v/>
      </c>
      <c r="N16" s="45" t="str">
        <f aca="false">IF(N(E16)=0,"",J16/E16)</f>
        <v/>
      </c>
      <c r="O16" s="11"/>
    </row>
    <row r="17" customFormat="false" ht="15" hidden="false" customHeight="false" outlineLevel="0" collapsed="false">
      <c r="A17" s="38"/>
      <c r="B17" s="39" t="str">
        <f aca="false">IF(A17="","",CHOOSE(WEEKDAY(A17,2),"Lun","Mar","Mié","Jue","Vie","Sáb","Dom"))</f>
        <v/>
      </c>
      <c r="C17" s="11"/>
      <c r="D17" s="40"/>
      <c r="E17" s="40"/>
      <c r="F17" s="40"/>
      <c r="G17" s="41"/>
      <c r="H17" s="42"/>
      <c r="I17" s="40"/>
      <c r="J17" s="43"/>
      <c r="K17" s="44" t="str">
        <f aca="false">IF(N(D17)=0,"",E17/D17)</f>
        <v/>
      </c>
      <c r="L17" s="44" t="str">
        <f aca="false">IF(N(E17)=0,"",I17/E17)</f>
        <v/>
      </c>
      <c r="M17" s="45" t="str">
        <f aca="false">IF(N(I17)=0,"",J17/I17)</f>
        <v/>
      </c>
      <c r="N17" s="45" t="str">
        <f aca="false">IF(N(E17)=0,"",J17/E17)</f>
        <v/>
      </c>
      <c r="O17" s="11"/>
    </row>
    <row r="18" customFormat="false" ht="15" hidden="false" customHeight="false" outlineLevel="0" collapsed="false">
      <c r="A18" s="38"/>
      <c r="B18" s="39" t="str">
        <f aca="false">IF(A18="","",CHOOSE(WEEKDAY(A18,2),"Lun","Mar","Mié","Jue","Vie","Sáb","Dom"))</f>
        <v/>
      </c>
      <c r="C18" s="11"/>
      <c r="D18" s="40"/>
      <c r="E18" s="40"/>
      <c r="F18" s="40"/>
      <c r="G18" s="41"/>
      <c r="H18" s="42"/>
      <c r="I18" s="40"/>
      <c r="J18" s="43"/>
      <c r="K18" s="44" t="str">
        <f aca="false">IF(N(D18)=0,"",E18/D18)</f>
        <v/>
      </c>
      <c r="L18" s="44" t="str">
        <f aca="false">IF(N(E18)=0,"",I18/E18)</f>
        <v/>
      </c>
      <c r="M18" s="45" t="str">
        <f aca="false">IF(N(I18)=0,"",J18/I18)</f>
        <v/>
      </c>
      <c r="N18" s="45" t="str">
        <f aca="false">IF(N(E18)=0,"",J18/E18)</f>
        <v/>
      </c>
      <c r="O18" s="11"/>
    </row>
    <row r="19" customFormat="false" ht="15" hidden="false" customHeight="false" outlineLevel="0" collapsed="false">
      <c r="A19" s="38"/>
      <c r="B19" s="39" t="str">
        <f aca="false">IF(A19="","",CHOOSE(WEEKDAY(A19,2),"Lun","Mar","Mié","Jue","Vie","Sáb","Dom"))</f>
        <v/>
      </c>
      <c r="C19" s="11"/>
      <c r="D19" s="40"/>
      <c r="E19" s="40"/>
      <c r="F19" s="40"/>
      <c r="G19" s="41"/>
      <c r="H19" s="42"/>
      <c r="I19" s="40"/>
      <c r="J19" s="43"/>
      <c r="K19" s="44" t="str">
        <f aca="false">IF(N(D19)=0,"",E19/D19)</f>
        <v/>
      </c>
      <c r="L19" s="44" t="str">
        <f aca="false">IF(N(E19)=0,"",I19/E19)</f>
        <v/>
      </c>
      <c r="M19" s="45" t="str">
        <f aca="false">IF(N(I19)=0,"",J19/I19)</f>
        <v/>
      </c>
      <c r="N19" s="45" t="str">
        <f aca="false">IF(N(E19)=0,"",J19/E19)</f>
        <v/>
      </c>
      <c r="O19" s="11"/>
    </row>
    <row r="20" customFormat="false" ht="15" hidden="false" customHeight="false" outlineLevel="0" collapsed="false">
      <c r="A20" s="38"/>
      <c r="B20" s="39" t="str">
        <f aca="false">IF(A20="","",CHOOSE(WEEKDAY(A20,2),"Lun","Mar","Mié","Jue","Vie","Sáb","Dom"))</f>
        <v/>
      </c>
      <c r="C20" s="11"/>
      <c r="D20" s="40"/>
      <c r="E20" s="40"/>
      <c r="F20" s="40"/>
      <c r="G20" s="41"/>
      <c r="H20" s="42"/>
      <c r="I20" s="40"/>
      <c r="J20" s="43"/>
      <c r="K20" s="44" t="str">
        <f aca="false">IF(N(D20)=0,"",E20/D20)</f>
        <v/>
      </c>
      <c r="L20" s="44" t="str">
        <f aca="false">IF(N(E20)=0,"",I20/E20)</f>
        <v/>
      </c>
      <c r="M20" s="45" t="str">
        <f aca="false">IF(N(I20)=0,"",J20/I20)</f>
        <v/>
      </c>
      <c r="N20" s="45" t="str">
        <f aca="false">IF(N(E20)=0,"",J20/E20)</f>
        <v/>
      </c>
      <c r="O20" s="11"/>
    </row>
    <row r="21" customFormat="false" ht="15" hidden="false" customHeight="false" outlineLevel="0" collapsed="false">
      <c r="A21" s="38"/>
      <c r="B21" s="39" t="str">
        <f aca="false">IF(A21="","",CHOOSE(WEEKDAY(A21,2),"Lun","Mar","Mié","Jue","Vie","Sáb","Dom"))</f>
        <v/>
      </c>
      <c r="C21" s="11"/>
      <c r="D21" s="40"/>
      <c r="E21" s="40"/>
      <c r="F21" s="40"/>
      <c r="G21" s="41"/>
      <c r="H21" s="42"/>
      <c r="I21" s="40"/>
      <c r="J21" s="43"/>
      <c r="K21" s="44" t="str">
        <f aca="false">IF(N(D21)=0,"",E21/D21)</f>
        <v/>
      </c>
      <c r="L21" s="44" t="str">
        <f aca="false">IF(N(E21)=0,"",I21/E21)</f>
        <v/>
      </c>
      <c r="M21" s="45" t="str">
        <f aca="false">IF(N(I21)=0,"",J21/I21)</f>
        <v/>
      </c>
      <c r="N21" s="45" t="str">
        <f aca="false">IF(N(E21)=0,"",J21/E21)</f>
        <v/>
      </c>
      <c r="O21" s="11"/>
    </row>
    <row r="22" customFormat="false" ht="15" hidden="false" customHeight="false" outlineLevel="0" collapsed="false">
      <c r="A22" s="38"/>
      <c r="B22" s="39" t="str">
        <f aca="false">IF(A22="","",CHOOSE(WEEKDAY(A22,2),"Lun","Mar","Mié","Jue","Vie","Sáb","Dom"))</f>
        <v/>
      </c>
      <c r="C22" s="11"/>
      <c r="D22" s="40"/>
      <c r="E22" s="40"/>
      <c r="F22" s="40"/>
      <c r="G22" s="41"/>
      <c r="H22" s="42"/>
      <c r="I22" s="40"/>
      <c r="J22" s="43"/>
      <c r="K22" s="44" t="str">
        <f aca="false">IF(N(D22)=0,"",E22/D22)</f>
        <v/>
      </c>
      <c r="L22" s="44" t="str">
        <f aca="false">IF(N(E22)=0,"",I22/E22)</f>
        <v/>
      </c>
      <c r="M22" s="45" t="str">
        <f aca="false">IF(N(I22)=0,"",J22/I22)</f>
        <v/>
      </c>
      <c r="N22" s="45" t="str">
        <f aca="false">IF(N(E22)=0,"",J22/E22)</f>
        <v/>
      </c>
      <c r="O22" s="11"/>
    </row>
    <row r="23" customFormat="false" ht="15" hidden="false" customHeight="false" outlineLevel="0" collapsed="false">
      <c r="A23" s="38"/>
      <c r="B23" s="39" t="str">
        <f aca="false">IF(A23="","",CHOOSE(WEEKDAY(A23,2),"Lun","Mar","Mié","Jue","Vie","Sáb","Dom"))</f>
        <v/>
      </c>
      <c r="C23" s="11"/>
      <c r="D23" s="40"/>
      <c r="E23" s="40"/>
      <c r="F23" s="40"/>
      <c r="G23" s="41"/>
      <c r="H23" s="42"/>
      <c r="I23" s="40"/>
      <c r="J23" s="43"/>
      <c r="K23" s="44" t="str">
        <f aca="false">IF(N(D23)=0,"",E23/D23)</f>
        <v/>
      </c>
      <c r="L23" s="44" t="str">
        <f aca="false">IF(N(E23)=0,"",I23/E23)</f>
        <v/>
      </c>
      <c r="M23" s="45" t="str">
        <f aca="false">IF(N(I23)=0,"",J23/I23)</f>
        <v/>
      </c>
      <c r="N23" s="45" t="str">
        <f aca="false">IF(N(E23)=0,"",J23/E23)</f>
        <v/>
      </c>
      <c r="O23" s="11"/>
    </row>
    <row r="24" customFormat="false" ht="15" hidden="false" customHeight="false" outlineLevel="0" collapsed="false">
      <c r="A24" s="38"/>
      <c r="B24" s="39" t="str">
        <f aca="false">IF(A24="","",CHOOSE(WEEKDAY(A24,2),"Lun","Mar","Mié","Jue","Vie","Sáb","Dom"))</f>
        <v/>
      </c>
      <c r="C24" s="11"/>
      <c r="D24" s="40"/>
      <c r="E24" s="40"/>
      <c r="F24" s="40"/>
      <c r="G24" s="41"/>
      <c r="H24" s="42"/>
      <c r="I24" s="40"/>
      <c r="J24" s="43"/>
      <c r="K24" s="44" t="str">
        <f aca="false">IF(N(D24)=0,"",E24/D24)</f>
        <v/>
      </c>
      <c r="L24" s="44" t="str">
        <f aca="false">IF(N(E24)=0,"",I24/E24)</f>
        <v/>
      </c>
      <c r="M24" s="45" t="str">
        <f aca="false">IF(N(I24)=0,"",J24/I24)</f>
        <v/>
      </c>
      <c r="N24" s="45" t="str">
        <f aca="false">IF(N(E24)=0,"",J24/E24)</f>
        <v/>
      </c>
      <c r="O24" s="11"/>
    </row>
    <row r="25" customFormat="false" ht="15" hidden="false" customHeight="false" outlineLevel="0" collapsed="false">
      <c r="A25" s="38"/>
      <c r="B25" s="39" t="str">
        <f aca="false">IF(A25="","",CHOOSE(WEEKDAY(A25,2),"Lun","Mar","Mié","Jue","Vie","Sáb","Dom"))</f>
        <v/>
      </c>
      <c r="C25" s="11"/>
      <c r="D25" s="40"/>
      <c r="E25" s="40"/>
      <c r="F25" s="40"/>
      <c r="G25" s="41"/>
      <c r="H25" s="42"/>
      <c r="I25" s="40"/>
      <c r="J25" s="43"/>
      <c r="K25" s="44" t="str">
        <f aca="false">IF(N(D25)=0,"",E25/D25)</f>
        <v/>
      </c>
      <c r="L25" s="44" t="str">
        <f aca="false">IF(N(E25)=0,"",I25/E25)</f>
        <v/>
      </c>
      <c r="M25" s="45" t="str">
        <f aca="false">IF(N(I25)=0,"",J25/I25)</f>
        <v/>
      </c>
      <c r="N25" s="45" t="str">
        <f aca="false">IF(N(E25)=0,"",J25/E25)</f>
        <v/>
      </c>
      <c r="O25" s="11"/>
    </row>
    <row r="26" customFormat="false" ht="15" hidden="false" customHeight="false" outlineLevel="0" collapsed="false">
      <c r="A26" s="38"/>
      <c r="B26" s="39" t="str">
        <f aca="false">IF(A26="","",CHOOSE(WEEKDAY(A26,2),"Lun","Mar","Mié","Jue","Vie","Sáb","Dom"))</f>
        <v/>
      </c>
      <c r="C26" s="11"/>
      <c r="D26" s="40"/>
      <c r="E26" s="40"/>
      <c r="F26" s="40"/>
      <c r="G26" s="41"/>
      <c r="H26" s="42"/>
      <c r="I26" s="40"/>
      <c r="J26" s="43"/>
      <c r="K26" s="44" t="str">
        <f aca="false">IF(N(D26)=0,"",E26/D26)</f>
        <v/>
      </c>
      <c r="L26" s="44" t="str">
        <f aca="false">IF(N(E26)=0,"",I26/E26)</f>
        <v/>
      </c>
      <c r="M26" s="45" t="str">
        <f aca="false">IF(N(I26)=0,"",J26/I26)</f>
        <v/>
      </c>
      <c r="N26" s="45" t="str">
        <f aca="false">IF(N(E26)=0,"",J26/E26)</f>
        <v/>
      </c>
      <c r="O26" s="11"/>
    </row>
    <row r="27" customFormat="false" ht="15" hidden="false" customHeight="false" outlineLevel="0" collapsed="false">
      <c r="A27" s="38"/>
      <c r="B27" s="39" t="str">
        <f aca="false">IF(A27="","",CHOOSE(WEEKDAY(A27,2),"Lun","Mar","Mié","Jue","Vie","Sáb","Dom"))</f>
        <v/>
      </c>
      <c r="C27" s="11"/>
      <c r="D27" s="40"/>
      <c r="E27" s="40"/>
      <c r="F27" s="40"/>
      <c r="G27" s="41"/>
      <c r="H27" s="42"/>
      <c r="I27" s="40"/>
      <c r="J27" s="43"/>
      <c r="K27" s="44" t="str">
        <f aca="false">IF(N(D27)=0,"",E27/D27)</f>
        <v/>
      </c>
      <c r="L27" s="44" t="str">
        <f aca="false">IF(N(E27)=0,"",I27/E27)</f>
        <v/>
      </c>
      <c r="M27" s="45" t="str">
        <f aca="false">IF(N(I27)=0,"",J27/I27)</f>
        <v/>
      </c>
      <c r="N27" s="45" t="str">
        <f aca="false">IF(N(E27)=0,"",J27/E27)</f>
        <v/>
      </c>
      <c r="O27" s="11"/>
    </row>
    <row r="28" customFormat="false" ht="15" hidden="false" customHeight="false" outlineLevel="0" collapsed="false">
      <c r="A28" s="38"/>
      <c r="B28" s="39" t="str">
        <f aca="false">IF(A28="","",CHOOSE(WEEKDAY(A28,2),"Lun","Mar","Mié","Jue","Vie","Sáb","Dom"))</f>
        <v/>
      </c>
      <c r="C28" s="11"/>
      <c r="D28" s="40"/>
      <c r="E28" s="40"/>
      <c r="F28" s="40"/>
      <c r="G28" s="41"/>
      <c r="H28" s="42"/>
      <c r="I28" s="40"/>
      <c r="J28" s="43"/>
      <c r="K28" s="44" t="str">
        <f aca="false">IF(N(D28)=0,"",E28/D28)</f>
        <v/>
      </c>
      <c r="L28" s="44" t="str">
        <f aca="false">IF(N(E28)=0,"",I28/E28)</f>
        <v/>
      </c>
      <c r="M28" s="45" t="str">
        <f aca="false">IF(N(I28)=0,"",J28/I28)</f>
        <v/>
      </c>
      <c r="N28" s="45" t="str">
        <f aca="false">IF(N(E28)=0,"",J28/E28)</f>
        <v/>
      </c>
      <c r="O28" s="11"/>
    </row>
    <row r="29" customFormat="false" ht="15" hidden="false" customHeight="false" outlineLevel="0" collapsed="false">
      <c r="A29" s="38"/>
      <c r="B29" s="39" t="str">
        <f aca="false">IF(A29="","",CHOOSE(WEEKDAY(A29,2),"Lun","Mar","Mié","Jue","Vie","Sáb","Dom"))</f>
        <v/>
      </c>
      <c r="C29" s="11"/>
      <c r="D29" s="40"/>
      <c r="E29" s="40"/>
      <c r="F29" s="40"/>
      <c r="G29" s="41"/>
      <c r="H29" s="42"/>
      <c r="I29" s="40"/>
      <c r="J29" s="43"/>
      <c r="K29" s="44" t="str">
        <f aca="false">IF(N(D29)=0,"",E29/D29)</f>
        <v/>
      </c>
      <c r="L29" s="44" t="str">
        <f aca="false">IF(N(E29)=0,"",I29/E29)</f>
        <v/>
      </c>
      <c r="M29" s="45" t="str">
        <f aca="false">IF(N(I29)=0,"",J29/I29)</f>
        <v/>
      </c>
      <c r="N29" s="45" t="str">
        <f aca="false">IF(N(E29)=0,"",J29/E29)</f>
        <v/>
      </c>
      <c r="O29" s="11"/>
    </row>
    <row r="30" customFormat="false" ht="15" hidden="false" customHeight="false" outlineLevel="0" collapsed="false">
      <c r="A30" s="38"/>
      <c r="B30" s="39" t="str">
        <f aca="false">IF(A30="","",CHOOSE(WEEKDAY(A30,2),"Lun","Mar","Mié","Jue","Vie","Sáb","Dom"))</f>
        <v/>
      </c>
      <c r="C30" s="11"/>
      <c r="D30" s="40"/>
      <c r="E30" s="40"/>
      <c r="F30" s="40"/>
      <c r="G30" s="41"/>
      <c r="H30" s="42"/>
      <c r="I30" s="40"/>
      <c r="J30" s="43"/>
      <c r="K30" s="44" t="str">
        <f aca="false">IF(N(D30)=0,"",E30/D30)</f>
        <v/>
      </c>
      <c r="L30" s="44" t="str">
        <f aca="false">IF(N(E30)=0,"",I30/E30)</f>
        <v/>
      </c>
      <c r="M30" s="45" t="str">
        <f aca="false">IF(N(I30)=0,"",J30/I30)</f>
        <v/>
      </c>
      <c r="N30" s="45" t="str">
        <f aca="false">IF(N(E30)=0,"",J30/E30)</f>
        <v/>
      </c>
      <c r="O30" s="11"/>
    </row>
    <row r="31" customFormat="false" ht="15" hidden="false" customHeight="false" outlineLevel="0" collapsed="false">
      <c r="A31" s="38"/>
      <c r="B31" s="39" t="str">
        <f aca="false">IF(A31="","",CHOOSE(WEEKDAY(A31,2),"Lun","Mar","Mié","Jue","Vie","Sáb","Dom"))</f>
        <v/>
      </c>
      <c r="C31" s="11"/>
      <c r="D31" s="40"/>
      <c r="E31" s="40"/>
      <c r="F31" s="40"/>
      <c r="G31" s="41"/>
      <c r="H31" s="42"/>
      <c r="I31" s="40"/>
      <c r="J31" s="43"/>
      <c r="K31" s="44" t="str">
        <f aca="false">IF(N(D31)=0,"",E31/D31)</f>
        <v/>
      </c>
      <c r="L31" s="44" t="str">
        <f aca="false">IF(N(E31)=0,"",I31/E31)</f>
        <v/>
      </c>
      <c r="M31" s="45" t="str">
        <f aca="false">IF(N(I31)=0,"",J31/I31)</f>
        <v/>
      </c>
      <c r="N31" s="45" t="str">
        <f aca="false">IF(N(E31)=0,"",J31/E31)</f>
        <v/>
      </c>
      <c r="O31" s="11"/>
    </row>
    <row r="32" customFormat="false" ht="15" hidden="false" customHeight="false" outlineLevel="0" collapsed="false">
      <c r="A32" s="38"/>
      <c r="B32" s="39" t="str">
        <f aca="false">IF(A32="","",CHOOSE(WEEKDAY(A32,2),"Lun","Mar","Mié","Jue","Vie","Sáb","Dom"))</f>
        <v/>
      </c>
      <c r="C32" s="11"/>
      <c r="D32" s="40"/>
      <c r="E32" s="40"/>
      <c r="F32" s="40"/>
      <c r="G32" s="41"/>
      <c r="H32" s="42"/>
      <c r="I32" s="40"/>
      <c r="J32" s="43"/>
      <c r="K32" s="44" t="str">
        <f aca="false">IF(N(D32)=0,"",E32/D32)</f>
        <v/>
      </c>
      <c r="L32" s="44" t="str">
        <f aca="false">IF(N(E32)=0,"",I32/E32)</f>
        <v/>
      </c>
      <c r="M32" s="45" t="str">
        <f aca="false">IF(N(I32)=0,"",J32/I32)</f>
        <v/>
      </c>
      <c r="N32" s="45" t="str">
        <f aca="false">IF(N(E32)=0,"",J32/E32)</f>
        <v/>
      </c>
      <c r="O32" s="11"/>
    </row>
    <row r="33" customFormat="false" ht="15" hidden="false" customHeight="false" outlineLevel="0" collapsed="false">
      <c r="A33" s="38"/>
      <c r="B33" s="39" t="str">
        <f aca="false">IF(A33="","",CHOOSE(WEEKDAY(A33,2),"Lun","Mar","Mié","Jue","Vie","Sáb","Dom"))</f>
        <v/>
      </c>
      <c r="C33" s="11"/>
      <c r="D33" s="40"/>
      <c r="E33" s="40"/>
      <c r="F33" s="40"/>
      <c r="G33" s="41"/>
      <c r="H33" s="42"/>
      <c r="I33" s="40"/>
      <c r="J33" s="43"/>
      <c r="K33" s="44" t="str">
        <f aca="false">IF(N(D33)=0,"",E33/D33)</f>
        <v/>
      </c>
      <c r="L33" s="44" t="str">
        <f aca="false">IF(N(E33)=0,"",I33/E33)</f>
        <v/>
      </c>
      <c r="M33" s="45" t="str">
        <f aca="false">IF(N(I33)=0,"",J33/I33)</f>
        <v/>
      </c>
      <c r="N33" s="45" t="str">
        <f aca="false">IF(N(E33)=0,"",J33/E33)</f>
        <v/>
      </c>
      <c r="O33" s="11"/>
    </row>
    <row r="34" customFormat="false" ht="15" hidden="false" customHeight="false" outlineLevel="0" collapsed="false">
      <c r="A34" s="38"/>
      <c r="B34" s="39" t="str">
        <f aca="false">IF(A34="","",CHOOSE(WEEKDAY(A34,2),"Lun","Mar","Mié","Jue","Vie","Sáb","Dom"))</f>
        <v/>
      </c>
      <c r="C34" s="11"/>
      <c r="D34" s="40"/>
      <c r="E34" s="40"/>
      <c r="F34" s="40"/>
      <c r="G34" s="41"/>
      <c r="H34" s="42"/>
      <c r="I34" s="40"/>
      <c r="J34" s="43"/>
      <c r="K34" s="44" t="str">
        <f aca="false">IF(N(D34)=0,"",E34/D34)</f>
        <v/>
      </c>
      <c r="L34" s="44" t="str">
        <f aca="false">IF(N(E34)=0,"",I34/E34)</f>
        <v/>
      </c>
      <c r="M34" s="45" t="str">
        <f aca="false">IF(N(I34)=0,"",J34/I34)</f>
        <v/>
      </c>
      <c r="N34" s="45" t="str">
        <f aca="false">IF(N(E34)=0,"",J34/E34)</f>
        <v/>
      </c>
      <c r="O34" s="11"/>
    </row>
    <row r="35" customFormat="false" ht="15" hidden="false" customHeight="false" outlineLevel="0" collapsed="false">
      <c r="A35" s="38"/>
      <c r="B35" s="39" t="str">
        <f aca="false">IF(A35="","",CHOOSE(WEEKDAY(A35,2),"Lun","Mar","Mié","Jue","Vie","Sáb","Dom"))</f>
        <v/>
      </c>
      <c r="C35" s="11"/>
      <c r="D35" s="40"/>
      <c r="E35" s="40"/>
      <c r="F35" s="40"/>
      <c r="G35" s="41"/>
      <c r="H35" s="42"/>
      <c r="I35" s="40"/>
      <c r="J35" s="43"/>
      <c r="K35" s="44" t="str">
        <f aca="false">IF(N(D35)=0,"",E35/D35)</f>
        <v/>
      </c>
      <c r="L35" s="44" t="str">
        <f aca="false">IF(N(E35)=0,"",I35/E35)</f>
        <v/>
      </c>
      <c r="M35" s="45" t="str">
        <f aca="false">IF(N(I35)=0,"",J35/I35)</f>
        <v/>
      </c>
      <c r="N35" s="45" t="str">
        <f aca="false">IF(N(E35)=0,"",J35/E35)</f>
        <v/>
      </c>
      <c r="O35" s="11"/>
    </row>
    <row r="36" customFormat="false" ht="15" hidden="false" customHeight="false" outlineLevel="0" collapsed="false">
      <c r="A36" s="38"/>
      <c r="B36" s="39" t="str">
        <f aca="false">IF(A36="","",CHOOSE(WEEKDAY(A36,2),"Lun","Mar","Mié","Jue","Vie","Sáb","Dom"))</f>
        <v/>
      </c>
      <c r="C36" s="11"/>
      <c r="D36" s="40"/>
      <c r="E36" s="40"/>
      <c r="F36" s="40"/>
      <c r="G36" s="41"/>
      <c r="H36" s="42"/>
      <c r="I36" s="40"/>
      <c r="J36" s="43"/>
      <c r="K36" s="44" t="str">
        <f aca="false">IF(N(D36)=0,"",E36/D36)</f>
        <v/>
      </c>
      <c r="L36" s="44" t="str">
        <f aca="false">IF(N(E36)=0,"",I36/E36)</f>
        <v/>
      </c>
      <c r="M36" s="45" t="str">
        <f aca="false">IF(N(I36)=0,"",J36/I36)</f>
        <v/>
      </c>
      <c r="N36" s="45" t="str">
        <f aca="false">IF(N(E36)=0,"",J36/E36)</f>
        <v/>
      </c>
      <c r="O36" s="11"/>
    </row>
    <row r="37" customFormat="false" ht="15" hidden="false" customHeight="false" outlineLevel="0" collapsed="false">
      <c r="A37" s="38"/>
      <c r="B37" s="39" t="str">
        <f aca="false">IF(A37="","",CHOOSE(WEEKDAY(A37,2),"Lun","Mar","Mié","Jue","Vie","Sáb","Dom"))</f>
        <v/>
      </c>
      <c r="C37" s="11"/>
      <c r="D37" s="40"/>
      <c r="E37" s="40"/>
      <c r="F37" s="40"/>
      <c r="G37" s="41"/>
      <c r="H37" s="42"/>
      <c r="I37" s="40"/>
      <c r="J37" s="43"/>
      <c r="K37" s="44" t="str">
        <f aca="false">IF(N(D37)=0,"",E37/D37)</f>
        <v/>
      </c>
      <c r="L37" s="44" t="str">
        <f aca="false">IF(N(E37)=0,"",I37/E37)</f>
        <v/>
      </c>
      <c r="M37" s="45" t="str">
        <f aca="false">IF(N(I37)=0,"",J37/I37)</f>
        <v/>
      </c>
      <c r="N37" s="45" t="str">
        <f aca="false">IF(N(E37)=0,"",J37/E37)</f>
        <v/>
      </c>
      <c r="O37" s="11"/>
    </row>
    <row r="38" customFormat="false" ht="15" hidden="false" customHeight="false" outlineLevel="0" collapsed="false">
      <c r="A38" s="38"/>
      <c r="B38" s="39" t="str">
        <f aca="false">IF(A38="","",CHOOSE(WEEKDAY(A38,2),"Lun","Mar","Mié","Jue","Vie","Sáb","Dom"))</f>
        <v/>
      </c>
      <c r="C38" s="11"/>
      <c r="D38" s="40"/>
      <c r="E38" s="40"/>
      <c r="F38" s="40"/>
      <c r="G38" s="41"/>
      <c r="H38" s="42"/>
      <c r="I38" s="40"/>
      <c r="J38" s="43"/>
      <c r="K38" s="44" t="str">
        <f aca="false">IF(N(D38)=0,"",E38/D38)</f>
        <v/>
      </c>
      <c r="L38" s="44" t="str">
        <f aca="false">IF(N(E38)=0,"",I38/E38)</f>
        <v/>
      </c>
      <c r="M38" s="45" t="str">
        <f aca="false">IF(N(I38)=0,"",J38/I38)</f>
        <v/>
      </c>
      <c r="N38" s="45" t="str">
        <f aca="false">IF(N(E38)=0,"",J38/E38)</f>
        <v/>
      </c>
      <c r="O38" s="11"/>
    </row>
    <row r="39" customFormat="false" ht="15" hidden="false" customHeight="false" outlineLevel="0" collapsed="false">
      <c r="A39" s="38"/>
      <c r="B39" s="39" t="str">
        <f aca="false">IF(A39="","",CHOOSE(WEEKDAY(A39,2),"Lun","Mar","Mié","Jue","Vie","Sáb","Dom"))</f>
        <v/>
      </c>
      <c r="C39" s="11"/>
      <c r="D39" s="40"/>
      <c r="E39" s="40"/>
      <c r="F39" s="40"/>
      <c r="G39" s="41"/>
      <c r="H39" s="42"/>
      <c r="I39" s="40"/>
      <c r="J39" s="43"/>
      <c r="K39" s="44" t="str">
        <f aca="false">IF(N(D39)=0,"",E39/D39)</f>
        <v/>
      </c>
      <c r="L39" s="44" t="str">
        <f aca="false">IF(N(E39)=0,"",I39/E39)</f>
        <v/>
      </c>
      <c r="M39" s="45" t="str">
        <f aca="false">IF(N(I39)=0,"",J39/I39)</f>
        <v/>
      </c>
      <c r="N39" s="45" t="str">
        <f aca="false">IF(N(E39)=0,"",J39/E39)</f>
        <v/>
      </c>
      <c r="O39" s="11"/>
    </row>
    <row r="40" customFormat="false" ht="15" hidden="false" customHeight="false" outlineLevel="0" collapsed="false">
      <c r="A40" s="38"/>
      <c r="B40" s="39" t="str">
        <f aca="false">IF(A40="","",CHOOSE(WEEKDAY(A40,2),"Lun","Mar","Mié","Jue","Vie","Sáb","Dom"))</f>
        <v/>
      </c>
      <c r="C40" s="11"/>
      <c r="D40" s="40"/>
      <c r="E40" s="40"/>
      <c r="F40" s="40"/>
      <c r="G40" s="41"/>
      <c r="H40" s="42"/>
      <c r="I40" s="40"/>
      <c r="J40" s="43"/>
      <c r="K40" s="44" t="str">
        <f aca="false">IF(N(D40)=0,"",E40/D40)</f>
        <v/>
      </c>
      <c r="L40" s="44" t="str">
        <f aca="false">IF(N(E40)=0,"",I40/E40)</f>
        <v/>
      </c>
      <c r="M40" s="45" t="str">
        <f aca="false">IF(N(I40)=0,"",J40/I40)</f>
        <v/>
      </c>
      <c r="N40" s="45" t="str">
        <f aca="false">IF(N(E40)=0,"",J40/E40)</f>
        <v/>
      </c>
      <c r="O40" s="11"/>
    </row>
    <row r="41" customFormat="false" ht="15" hidden="false" customHeight="false" outlineLevel="0" collapsed="false">
      <c r="A41" s="38"/>
      <c r="B41" s="39" t="str">
        <f aca="false">IF(A41="","",CHOOSE(WEEKDAY(A41,2),"Lun","Mar","Mié","Jue","Vie","Sáb","Dom"))</f>
        <v/>
      </c>
      <c r="C41" s="11"/>
      <c r="D41" s="40"/>
      <c r="E41" s="40"/>
      <c r="F41" s="40"/>
      <c r="G41" s="41"/>
      <c r="H41" s="42"/>
      <c r="I41" s="40"/>
      <c r="J41" s="43"/>
      <c r="K41" s="44" t="str">
        <f aca="false">IF(N(D41)=0,"",E41/D41)</f>
        <v/>
      </c>
      <c r="L41" s="44" t="str">
        <f aca="false">IF(N(E41)=0,"",I41/E41)</f>
        <v/>
      </c>
      <c r="M41" s="45" t="str">
        <f aca="false">IF(N(I41)=0,"",J41/I41)</f>
        <v/>
      </c>
      <c r="N41" s="45" t="str">
        <f aca="false">IF(N(E41)=0,"",J41/E41)</f>
        <v/>
      </c>
      <c r="O41" s="11"/>
    </row>
    <row r="42" customFormat="false" ht="15" hidden="false" customHeight="false" outlineLevel="0" collapsed="false">
      <c r="A42" s="38"/>
      <c r="B42" s="39" t="str">
        <f aca="false">IF(A42="","",CHOOSE(WEEKDAY(A42,2),"Lun","Mar","Mié","Jue","Vie","Sáb","Dom"))</f>
        <v/>
      </c>
      <c r="C42" s="11"/>
      <c r="D42" s="40"/>
      <c r="E42" s="40"/>
      <c r="F42" s="40"/>
      <c r="G42" s="41"/>
      <c r="H42" s="42"/>
      <c r="I42" s="40"/>
      <c r="J42" s="43"/>
      <c r="K42" s="44" t="str">
        <f aca="false">IF(N(D42)=0,"",E42/D42)</f>
        <v/>
      </c>
      <c r="L42" s="44" t="str">
        <f aca="false">IF(N(E42)=0,"",I42/E42)</f>
        <v/>
      </c>
      <c r="M42" s="45" t="str">
        <f aca="false">IF(N(I42)=0,"",J42/I42)</f>
        <v/>
      </c>
      <c r="N42" s="45" t="str">
        <f aca="false">IF(N(E42)=0,"",J42/E42)</f>
        <v/>
      </c>
      <c r="O42" s="11"/>
    </row>
    <row r="43" customFormat="false" ht="15" hidden="false" customHeight="false" outlineLevel="0" collapsed="false">
      <c r="A43" s="38"/>
      <c r="B43" s="39" t="str">
        <f aca="false">IF(A43="","",CHOOSE(WEEKDAY(A43,2),"Lun","Mar","Mié","Jue","Vie","Sáb","Dom"))</f>
        <v/>
      </c>
      <c r="C43" s="11"/>
      <c r="D43" s="40"/>
      <c r="E43" s="40"/>
      <c r="F43" s="40"/>
      <c r="G43" s="41"/>
      <c r="H43" s="42"/>
      <c r="I43" s="40"/>
      <c r="J43" s="43"/>
      <c r="K43" s="44" t="str">
        <f aca="false">IF(N(D43)=0,"",E43/D43)</f>
        <v/>
      </c>
      <c r="L43" s="44" t="str">
        <f aca="false">IF(N(E43)=0,"",I43/E43)</f>
        <v/>
      </c>
      <c r="M43" s="45" t="str">
        <f aca="false">IF(N(I43)=0,"",J43/I43)</f>
        <v/>
      </c>
      <c r="N43" s="45" t="str">
        <f aca="false">IF(N(E43)=0,"",J43/E43)</f>
        <v/>
      </c>
      <c r="O43" s="11"/>
    </row>
    <row r="44" customFormat="false" ht="15" hidden="false" customHeight="false" outlineLevel="0" collapsed="false">
      <c r="A44" s="38"/>
      <c r="B44" s="39" t="str">
        <f aca="false">IF(A44="","",CHOOSE(WEEKDAY(A44,2),"Lun","Mar","Mié","Jue","Vie","Sáb","Dom"))</f>
        <v/>
      </c>
      <c r="C44" s="11"/>
      <c r="D44" s="40"/>
      <c r="E44" s="40"/>
      <c r="F44" s="40"/>
      <c r="G44" s="41"/>
      <c r="H44" s="42"/>
      <c r="I44" s="40"/>
      <c r="J44" s="43"/>
      <c r="K44" s="44" t="str">
        <f aca="false">IF(N(D44)=0,"",E44/D44)</f>
        <v/>
      </c>
      <c r="L44" s="44" t="str">
        <f aca="false">IF(N(E44)=0,"",I44/E44)</f>
        <v/>
      </c>
      <c r="M44" s="45" t="str">
        <f aca="false">IF(N(I44)=0,"",J44/I44)</f>
        <v/>
      </c>
      <c r="N44" s="45" t="str">
        <f aca="false">IF(N(E44)=0,"",J44/E44)</f>
        <v/>
      </c>
      <c r="O44" s="11"/>
    </row>
    <row r="45" customFormat="false" ht="15" hidden="false" customHeight="false" outlineLevel="0" collapsed="false">
      <c r="A45" s="38"/>
      <c r="B45" s="39" t="str">
        <f aca="false">IF(A45="","",CHOOSE(WEEKDAY(A45,2),"Lun","Mar","Mié","Jue","Vie","Sáb","Dom"))</f>
        <v/>
      </c>
      <c r="C45" s="11"/>
      <c r="D45" s="40"/>
      <c r="E45" s="40"/>
      <c r="F45" s="40"/>
      <c r="G45" s="41"/>
      <c r="H45" s="42"/>
      <c r="I45" s="40"/>
      <c r="J45" s="43"/>
      <c r="K45" s="44" t="str">
        <f aca="false">IF(N(D45)=0,"",E45/D45)</f>
        <v/>
      </c>
      <c r="L45" s="44" t="str">
        <f aca="false">IF(N(E45)=0,"",I45/E45)</f>
        <v/>
      </c>
      <c r="M45" s="45" t="str">
        <f aca="false">IF(N(I45)=0,"",J45/I45)</f>
        <v/>
      </c>
      <c r="N45" s="45" t="str">
        <f aca="false">IF(N(E45)=0,"",J45/E45)</f>
        <v/>
      </c>
      <c r="O45" s="11"/>
    </row>
    <row r="46" customFormat="false" ht="15" hidden="false" customHeight="false" outlineLevel="0" collapsed="false">
      <c r="A46" s="38"/>
      <c r="B46" s="39" t="str">
        <f aca="false">IF(A46="","",CHOOSE(WEEKDAY(A46,2),"Lun","Mar","Mié","Jue","Vie","Sáb","Dom"))</f>
        <v/>
      </c>
      <c r="C46" s="11"/>
      <c r="D46" s="40"/>
      <c r="E46" s="40"/>
      <c r="F46" s="40"/>
      <c r="G46" s="41"/>
      <c r="H46" s="42"/>
      <c r="I46" s="40"/>
      <c r="J46" s="43"/>
      <c r="K46" s="44" t="str">
        <f aca="false">IF(N(D46)=0,"",E46/D46)</f>
        <v/>
      </c>
      <c r="L46" s="44" t="str">
        <f aca="false">IF(N(E46)=0,"",I46/E46)</f>
        <v/>
      </c>
      <c r="M46" s="45" t="str">
        <f aca="false">IF(N(I46)=0,"",J46/I46)</f>
        <v/>
      </c>
      <c r="N46" s="45" t="str">
        <f aca="false">IF(N(E46)=0,"",J46/E46)</f>
        <v/>
      </c>
      <c r="O46" s="11"/>
    </row>
    <row r="47" customFormat="false" ht="15" hidden="false" customHeight="false" outlineLevel="0" collapsed="false">
      <c r="A47" s="38"/>
      <c r="B47" s="39" t="str">
        <f aca="false">IF(A47="","",CHOOSE(WEEKDAY(A47,2),"Lun","Mar","Mié","Jue","Vie","Sáb","Dom"))</f>
        <v/>
      </c>
      <c r="C47" s="11"/>
      <c r="D47" s="40"/>
      <c r="E47" s="40"/>
      <c r="F47" s="40"/>
      <c r="G47" s="41"/>
      <c r="H47" s="42"/>
      <c r="I47" s="40"/>
      <c r="J47" s="43"/>
      <c r="K47" s="44" t="str">
        <f aca="false">IF(N(D47)=0,"",E47/D47)</f>
        <v/>
      </c>
      <c r="L47" s="44" t="str">
        <f aca="false">IF(N(E47)=0,"",I47/E47)</f>
        <v/>
      </c>
      <c r="M47" s="45" t="str">
        <f aca="false">IF(N(I47)=0,"",J47/I47)</f>
        <v/>
      </c>
      <c r="N47" s="45" t="str">
        <f aca="false">IF(N(E47)=0,"",J47/E47)</f>
        <v/>
      </c>
      <c r="O47" s="11"/>
    </row>
    <row r="48" customFormat="false" ht="15" hidden="false" customHeight="false" outlineLevel="0" collapsed="false">
      <c r="A48" s="38"/>
      <c r="B48" s="39" t="str">
        <f aca="false">IF(A48="","",CHOOSE(WEEKDAY(A48,2),"Lun","Mar","Mié","Jue","Vie","Sáb","Dom"))</f>
        <v/>
      </c>
      <c r="C48" s="11"/>
      <c r="D48" s="40"/>
      <c r="E48" s="40"/>
      <c r="F48" s="40"/>
      <c r="G48" s="41"/>
      <c r="H48" s="42"/>
      <c r="I48" s="40"/>
      <c r="J48" s="43"/>
      <c r="K48" s="44" t="str">
        <f aca="false">IF(N(D48)=0,"",E48/D48)</f>
        <v/>
      </c>
      <c r="L48" s="44" t="str">
        <f aca="false">IF(N(E48)=0,"",I48/E48)</f>
        <v/>
      </c>
      <c r="M48" s="45" t="str">
        <f aca="false">IF(N(I48)=0,"",J48/I48)</f>
        <v/>
      </c>
      <c r="N48" s="45" t="str">
        <f aca="false">IF(N(E48)=0,"",J48/E48)</f>
        <v/>
      </c>
      <c r="O48" s="11"/>
    </row>
    <row r="49" customFormat="false" ht="15" hidden="false" customHeight="false" outlineLevel="0" collapsed="false">
      <c r="A49" s="38"/>
      <c r="B49" s="39" t="str">
        <f aca="false">IF(A49="","",CHOOSE(WEEKDAY(A49,2),"Lun","Mar","Mié","Jue","Vie","Sáb","Dom"))</f>
        <v/>
      </c>
      <c r="C49" s="11"/>
      <c r="D49" s="40"/>
      <c r="E49" s="40"/>
      <c r="F49" s="40"/>
      <c r="G49" s="41"/>
      <c r="H49" s="42"/>
      <c r="I49" s="40"/>
      <c r="J49" s="43"/>
      <c r="K49" s="44" t="str">
        <f aca="false">IF(N(D49)=0,"",E49/D49)</f>
        <v/>
      </c>
      <c r="L49" s="44" t="str">
        <f aca="false">IF(N(E49)=0,"",I49/E49)</f>
        <v/>
      </c>
      <c r="M49" s="45" t="str">
        <f aca="false">IF(N(I49)=0,"",J49/I49)</f>
        <v/>
      </c>
      <c r="N49" s="45" t="str">
        <f aca="false">IF(N(E49)=0,"",J49/E49)</f>
        <v/>
      </c>
      <c r="O49" s="11"/>
    </row>
    <row r="50" customFormat="false" ht="15" hidden="false" customHeight="false" outlineLevel="0" collapsed="false">
      <c r="A50" s="38"/>
      <c r="B50" s="39" t="str">
        <f aca="false">IF(A50="","",CHOOSE(WEEKDAY(A50,2),"Lun","Mar","Mié","Jue","Vie","Sáb","Dom"))</f>
        <v/>
      </c>
      <c r="C50" s="11"/>
      <c r="D50" s="40"/>
      <c r="E50" s="40"/>
      <c r="F50" s="40"/>
      <c r="G50" s="41"/>
      <c r="H50" s="42"/>
      <c r="I50" s="40"/>
      <c r="J50" s="43"/>
      <c r="K50" s="44" t="str">
        <f aca="false">IF(N(D50)=0,"",E50/D50)</f>
        <v/>
      </c>
      <c r="L50" s="44" t="str">
        <f aca="false">IF(N(E50)=0,"",I50/E50)</f>
        <v/>
      </c>
      <c r="M50" s="45" t="str">
        <f aca="false">IF(N(I50)=0,"",J50/I50)</f>
        <v/>
      </c>
      <c r="N50" s="45" t="str">
        <f aca="false">IF(N(E50)=0,"",J50/E50)</f>
        <v/>
      </c>
      <c r="O50" s="11"/>
    </row>
    <row r="51" customFormat="false" ht="15" hidden="false" customHeight="false" outlineLevel="0" collapsed="false">
      <c r="A51" s="38"/>
      <c r="B51" s="39" t="str">
        <f aca="false">IF(A51="","",CHOOSE(WEEKDAY(A51,2),"Lun","Mar","Mié","Jue","Vie","Sáb","Dom"))</f>
        <v/>
      </c>
      <c r="C51" s="11"/>
      <c r="D51" s="40"/>
      <c r="E51" s="40"/>
      <c r="F51" s="40"/>
      <c r="G51" s="41"/>
      <c r="H51" s="42"/>
      <c r="I51" s="40"/>
      <c r="J51" s="43"/>
      <c r="K51" s="44" t="str">
        <f aca="false">IF(N(D51)=0,"",E51/D51)</f>
        <v/>
      </c>
      <c r="L51" s="44" t="str">
        <f aca="false">IF(N(E51)=0,"",I51/E51)</f>
        <v/>
      </c>
      <c r="M51" s="45" t="str">
        <f aca="false">IF(N(I51)=0,"",J51/I51)</f>
        <v/>
      </c>
      <c r="N51" s="45" t="str">
        <f aca="false">IF(N(E51)=0,"",J51/E51)</f>
        <v/>
      </c>
      <c r="O51" s="11"/>
    </row>
    <row r="52" customFormat="false" ht="15" hidden="false" customHeight="false" outlineLevel="0" collapsed="false">
      <c r="A52" s="38"/>
      <c r="B52" s="39" t="str">
        <f aca="false">IF(A52="","",CHOOSE(WEEKDAY(A52,2),"Lun","Mar","Mié","Jue","Vie","Sáb","Dom"))</f>
        <v/>
      </c>
      <c r="C52" s="11"/>
      <c r="D52" s="40"/>
      <c r="E52" s="40"/>
      <c r="F52" s="40"/>
      <c r="G52" s="41"/>
      <c r="H52" s="42"/>
      <c r="I52" s="40"/>
      <c r="J52" s="43"/>
      <c r="K52" s="44" t="str">
        <f aca="false">IF(N(D52)=0,"",E52/D52)</f>
        <v/>
      </c>
      <c r="L52" s="44" t="str">
        <f aca="false">IF(N(E52)=0,"",I52/E52)</f>
        <v/>
      </c>
      <c r="M52" s="45" t="str">
        <f aca="false">IF(N(I52)=0,"",J52/I52)</f>
        <v/>
      </c>
      <c r="N52" s="45" t="str">
        <f aca="false">IF(N(E52)=0,"",J52/E52)</f>
        <v/>
      </c>
      <c r="O52" s="11"/>
    </row>
    <row r="53" customFormat="false" ht="15" hidden="false" customHeight="false" outlineLevel="0" collapsed="false">
      <c r="A53" s="38"/>
      <c r="B53" s="39" t="str">
        <f aca="false">IF(A53="","",CHOOSE(WEEKDAY(A53,2),"Lun","Mar","Mié","Jue","Vie","Sáb","Dom"))</f>
        <v/>
      </c>
      <c r="C53" s="11"/>
      <c r="D53" s="40"/>
      <c r="E53" s="40"/>
      <c r="F53" s="40"/>
      <c r="G53" s="41"/>
      <c r="H53" s="42"/>
      <c r="I53" s="40"/>
      <c r="J53" s="43"/>
      <c r="K53" s="44" t="str">
        <f aca="false">IF(N(D53)=0,"",E53/D53)</f>
        <v/>
      </c>
      <c r="L53" s="44" t="str">
        <f aca="false">IF(N(E53)=0,"",I53/E53)</f>
        <v/>
      </c>
      <c r="M53" s="45" t="str">
        <f aca="false">IF(N(I53)=0,"",J53/I53)</f>
        <v/>
      </c>
      <c r="N53" s="45" t="str">
        <f aca="false">IF(N(E53)=0,"",J53/E53)</f>
        <v/>
      </c>
      <c r="O53" s="11"/>
    </row>
    <row r="54" customFormat="false" ht="15" hidden="false" customHeight="false" outlineLevel="0" collapsed="false">
      <c r="A54" s="38"/>
      <c r="B54" s="39" t="str">
        <f aca="false">IF(A54="","",CHOOSE(WEEKDAY(A54,2),"Lun","Mar","Mié","Jue","Vie","Sáb","Dom"))</f>
        <v/>
      </c>
      <c r="C54" s="11"/>
      <c r="D54" s="40"/>
      <c r="E54" s="40"/>
      <c r="F54" s="40"/>
      <c r="G54" s="41"/>
      <c r="H54" s="42"/>
      <c r="I54" s="40"/>
      <c r="J54" s="43"/>
      <c r="K54" s="44" t="str">
        <f aca="false">IF(N(D54)=0,"",E54/D54)</f>
        <v/>
      </c>
      <c r="L54" s="44" t="str">
        <f aca="false">IF(N(E54)=0,"",I54/E54)</f>
        <v/>
      </c>
      <c r="M54" s="45" t="str">
        <f aca="false">IF(N(I54)=0,"",J54/I54)</f>
        <v/>
      </c>
      <c r="N54" s="45" t="str">
        <f aca="false">IF(N(E54)=0,"",J54/E54)</f>
        <v/>
      </c>
      <c r="O54" s="11"/>
    </row>
    <row r="55" customFormat="false" ht="15" hidden="false" customHeight="false" outlineLevel="0" collapsed="false">
      <c r="A55" s="38"/>
      <c r="B55" s="39" t="str">
        <f aca="false">IF(A55="","",CHOOSE(WEEKDAY(A55,2),"Lun","Mar","Mié","Jue","Vie","Sáb","Dom"))</f>
        <v/>
      </c>
      <c r="C55" s="11"/>
      <c r="D55" s="40"/>
      <c r="E55" s="40"/>
      <c r="F55" s="40"/>
      <c r="G55" s="41"/>
      <c r="H55" s="42"/>
      <c r="I55" s="40"/>
      <c r="J55" s="43"/>
      <c r="K55" s="44" t="str">
        <f aca="false">IF(N(D55)=0,"",E55/D55)</f>
        <v/>
      </c>
      <c r="L55" s="44" t="str">
        <f aca="false">IF(N(E55)=0,"",I55/E55)</f>
        <v/>
      </c>
      <c r="M55" s="45" t="str">
        <f aca="false">IF(N(I55)=0,"",J55/I55)</f>
        <v/>
      </c>
      <c r="N55" s="45" t="str">
        <f aca="false">IF(N(E55)=0,"",J55/E55)</f>
        <v/>
      </c>
      <c r="O55" s="11"/>
    </row>
    <row r="56" customFormat="false" ht="15" hidden="false" customHeight="false" outlineLevel="0" collapsed="false">
      <c r="A56" s="38"/>
      <c r="B56" s="39" t="str">
        <f aca="false">IF(A56="","",CHOOSE(WEEKDAY(A56,2),"Lun","Mar","Mié","Jue","Vie","Sáb","Dom"))</f>
        <v/>
      </c>
      <c r="C56" s="11"/>
      <c r="D56" s="40"/>
      <c r="E56" s="40"/>
      <c r="F56" s="40"/>
      <c r="G56" s="41"/>
      <c r="H56" s="42"/>
      <c r="I56" s="40"/>
      <c r="J56" s="43"/>
      <c r="K56" s="44" t="str">
        <f aca="false">IF(N(D56)=0,"",E56/D56)</f>
        <v/>
      </c>
      <c r="L56" s="44" t="str">
        <f aca="false">IF(N(E56)=0,"",I56/E56)</f>
        <v/>
      </c>
      <c r="M56" s="45" t="str">
        <f aca="false">IF(N(I56)=0,"",J56/I56)</f>
        <v/>
      </c>
      <c r="N56" s="45" t="str">
        <f aca="false">IF(N(E56)=0,"",J56/E56)</f>
        <v/>
      </c>
      <c r="O56" s="11"/>
    </row>
    <row r="57" customFormat="false" ht="15" hidden="false" customHeight="false" outlineLevel="0" collapsed="false">
      <c r="A57" s="38"/>
      <c r="B57" s="39" t="str">
        <f aca="false">IF(A57="","",CHOOSE(WEEKDAY(A57,2),"Lun","Mar","Mié","Jue","Vie","Sáb","Dom"))</f>
        <v/>
      </c>
      <c r="C57" s="11"/>
      <c r="D57" s="40"/>
      <c r="E57" s="40"/>
      <c r="F57" s="40"/>
      <c r="G57" s="41"/>
      <c r="H57" s="42"/>
      <c r="I57" s="40"/>
      <c r="J57" s="43"/>
      <c r="K57" s="44" t="str">
        <f aca="false">IF(N(D57)=0,"",E57/D57)</f>
        <v/>
      </c>
      <c r="L57" s="44" t="str">
        <f aca="false">IF(N(E57)=0,"",I57/E57)</f>
        <v/>
      </c>
      <c r="M57" s="45" t="str">
        <f aca="false">IF(N(I57)=0,"",J57/I57)</f>
        <v/>
      </c>
      <c r="N57" s="45" t="str">
        <f aca="false">IF(N(E57)=0,"",J57/E57)</f>
        <v/>
      </c>
      <c r="O57" s="11"/>
    </row>
    <row r="58" customFormat="false" ht="15" hidden="false" customHeight="false" outlineLevel="0" collapsed="false">
      <c r="A58" s="38"/>
      <c r="B58" s="39" t="str">
        <f aca="false">IF(A58="","",CHOOSE(WEEKDAY(A58,2),"Lun","Mar","Mié","Jue","Vie","Sáb","Dom"))</f>
        <v/>
      </c>
      <c r="C58" s="11"/>
      <c r="D58" s="40"/>
      <c r="E58" s="40"/>
      <c r="F58" s="40"/>
      <c r="G58" s="41"/>
      <c r="H58" s="42"/>
      <c r="I58" s="40"/>
      <c r="J58" s="43"/>
      <c r="K58" s="44" t="str">
        <f aca="false">IF(N(D58)=0,"",E58/D58)</f>
        <v/>
      </c>
      <c r="L58" s="44" t="str">
        <f aca="false">IF(N(E58)=0,"",I58/E58)</f>
        <v/>
      </c>
      <c r="M58" s="45" t="str">
        <f aca="false">IF(N(I58)=0,"",J58/I58)</f>
        <v/>
      </c>
      <c r="N58" s="45" t="str">
        <f aca="false">IF(N(E58)=0,"",J58/E58)</f>
        <v/>
      </c>
      <c r="O58" s="11"/>
    </row>
    <row r="59" customFormat="false" ht="15" hidden="false" customHeight="false" outlineLevel="0" collapsed="false">
      <c r="A59" s="38"/>
      <c r="B59" s="39" t="str">
        <f aca="false">IF(A59="","",CHOOSE(WEEKDAY(A59,2),"Lun","Mar","Mié","Jue","Vie","Sáb","Dom"))</f>
        <v/>
      </c>
      <c r="C59" s="11"/>
      <c r="D59" s="40"/>
      <c r="E59" s="40"/>
      <c r="F59" s="40"/>
      <c r="G59" s="41"/>
      <c r="H59" s="42"/>
      <c r="I59" s="40"/>
      <c r="J59" s="43"/>
      <c r="K59" s="44" t="str">
        <f aca="false">IF(N(D59)=0,"",E59/D59)</f>
        <v/>
      </c>
      <c r="L59" s="44" t="str">
        <f aca="false">IF(N(E59)=0,"",I59/E59)</f>
        <v/>
      </c>
      <c r="M59" s="45" t="str">
        <f aca="false">IF(N(I59)=0,"",J59/I59)</f>
        <v/>
      </c>
      <c r="N59" s="45" t="str">
        <f aca="false">IF(N(E59)=0,"",J59/E59)</f>
        <v/>
      </c>
      <c r="O59" s="11"/>
    </row>
    <row r="60" customFormat="false" ht="15" hidden="false" customHeight="false" outlineLevel="0" collapsed="false">
      <c r="A60" s="38"/>
      <c r="B60" s="39" t="str">
        <f aca="false">IF(A60="","",CHOOSE(WEEKDAY(A60,2),"Lun","Mar","Mié","Jue","Vie","Sáb","Dom"))</f>
        <v/>
      </c>
      <c r="C60" s="11"/>
      <c r="D60" s="40"/>
      <c r="E60" s="40"/>
      <c r="F60" s="40"/>
      <c r="G60" s="41"/>
      <c r="H60" s="42"/>
      <c r="I60" s="40"/>
      <c r="J60" s="43"/>
      <c r="K60" s="44" t="str">
        <f aca="false">IF(N(D60)=0,"",E60/D60)</f>
        <v/>
      </c>
      <c r="L60" s="44" t="str">
        <f aca="false">IF(N(E60)=0,"",I60/E60)</f>
        <v/>
      </c>
      <c r="M60" s="45" t="str">
        <f aca="false">IF(N(I60)=0,"",J60/I60)</f>
        <v/>
      </c>
      <c r="N60" s="45" t="str">
        <f aca="false">IF(N(E60)=0,"",J60/E60)</f>
        <v/>
      </c>
      <c r="O60" s="11"/>
    </row>
    <row r="61" customFormat="false" ht="15" hidden="false" customHeight="false" outlineLevel="0" collapsed="false">
      <c r="A61" s="38"/>
      <c r="B61" s="39" t="str">
        <f aca="false">IF(A61="","",CHOOSE(WEEKDAY(A61,2),"Lun","Mar","Mié","Jue","Vie","Sáb","Dom"))</f>
        <v/>
      </c>
      <c r="C61" s="11"/>
      <c r="D61" s="40"/>
      <c r="E61" s="40"/>
      <c r="F61" s="40"/>
      <c r="G61" s="41"/>
      <c r="H61" s="42"/>
      <c r="I61" s="40"/>
      <c r="J61" s="43"/>
      <c r="K61" s="44" t="str">
        <f aca="false">IF(N(D61)=0,"",E61/D61)</f>
        <v/>
      </c>
      <c r="L61" s="44" t="str">
        <f aca="false">IF(N(E61)=0,"",I61/E61)</f>
        <v/>
      </c>
      <c r="M61" s="45" t="str">
        <f aca="false">IF(N(I61)=0,"",J61/I61)</f>
        <v/>
      </c>
      <c r="N61" s="45" t="str">
        <f aca="false">IF(N(E61)=0,"",J61/E61)</f>
        <v/>
      </c>
      <c r="O61" s="11"/>
    </row>
    <row r="62" customFormat="false" ht="15" hidden="false" customHeight="false" outlineLevel="0" collapsed="false">
      <c r="A62" s="38"/>
      <c r="B62" s="39" t="str">
        <f aca="false">IF(A62="","",CHOOSE(WEEKDAY(A62,2),"Lun","Mar","Mié","Jue","Vie","Sáb","Dom"))</f>
        <v/>
      </c>
      <c r="C62" s="11"/>
      <c r="D62" s="40"/>
      <c r="E62" s="40"/>
      <c r="F62" s="40"/>
      <c r="G62" s="41"/>
      <c r="H62" s="42"/>
      <c r="I62" s="40"/>
      <c r="J62" s="43"/>
      <c r="K62" s="44" t="str">
        <f aca="false">IF(N(D62)=0,"",E62/D62)</f>
        <v/>
      </c>
      <c r="L62" s="44" t="str">
        <f aca="false">IF(N(E62)=0,"",I62/E62)</f>
        <v/>
      </c>
      <c r="M62" s="45" t="str">
        <f aca="false">IF(N(I62)=0,"",J62/I62)</f>
        <v/>
      </c>
      <c r="N62" s="45" t="str">
        <f aca="false">IF(N(E62)=0,"",J62/E62)</f>
        <v/>
      </c>
      <c r="O62" s="11"/>
    </row>
    <row r="63" customFormat="false" ht="15" hidden="false" customHeight="false" outlineLevel="0" collapsed="false">
      <c r="A63" s="38"/>
      <c r="B63" s="39" t="str">
        <f aca="false">IF(A63="","",CHOOSE(WEEKDAY(A63,2),"Lun","Mar","Mié","Jue","Vie","Sáb","Dom"))</f>
        <v/>
      </c>
      <c r="C63" s="11"/>
      <c r="D63" s="40"/>
      <c r="E63" s="40"/>
      <c r="F63" s="40"/>
      <c r="G63" s="41"/>
      <c r="H63" s="42"/>
      <c r="I63" s="40"/>
      <c r="J63" s="43"/>
      <c r="K63" s="44" t="str">
        <f aca="false">IF(N(D63)=0,"",E63/D63)</f>
        <v/>
      </c>
      <c r="L63" s="44" t="str">
        <f aca="false">IF(N(E63)=0,"",I63/E63)</f>
        <v/>
      </c>
      <c r="M63" s="45" t="str">
        <f aca="false">IF(N(I63)=0,"",J63/I63)</f>
        <v/>
      </c>
      <c r="N63" s="45" t="str">
        <f aca="false">IF(N(E63)=0,"",J63/E63)</f>
        <v/>
      </c>
      <c r="O63" s="11"/>
    </row>
    <row r="64" customFormat="false" ht="15" hidden="false" customHeight="false" outlineLevel="0" collapsed="false">
      <c r="A64" s="38"/>
      <c r="B64" s="39" t="str">
        <f aca="false">IF(A64="","",CHOOSE(WEEKDAY(A64,2),"Lun","Mar","Mié","Jue","Vie","Sáb","Dom"))</f>
        <v/>
      </c>
      <c r="C64" s="11"/>
      <c r="D64" s="40"/>
      <c r="E64" s="40"/>
      <c r="F64" s="40"/>
      <c r="G64" s="41"/>
      <c r="H64" s="42"/>
      <c r="I64" s="40"/>
      <c r="J64" s="43"/>
      <c r="K64" s="44" t="str">
        <f aca="false">IF(N(D64)=0,"",E64/D64)</f>
        <v/>
      </c>
      <c r="L64" s="44" t="str">
        <f aca="false">IF(N(E64)=0,"",I64/E64)</f>
        <v/>
      </c>
      <c r="M64" s="45" t="str">
        <f aca="false">IF(N(I64)=0,"",J64/I64)</f>
        <v/>
      </c>
      <c r="N64" s="45" t="str">
        <f aca="false">IF(N(E64)=0,"",J64/E64)</f>
        <v/>
      </c>
      <c r="O64" s="11"/>
    </row>
    <row r="65" customFormat="false" ht="15" hidden="false" customHeight="false" outlineLevel="0" collapsed="false">
      <c r="A65" s="38"/>
      <c r="B65" s="39" t="str">
        <f aca="false">IF(A65="","",CHOOSE(WEEKDAY(A65,2),"Lun","Mar","Mié","Jue","Vie","Sáb","Dom"))</f>
        <v/>
      </c>
      <c r="C65" s="11"/>
      <c r="D65" s="40"/>
      <c r="E65" s="40"/>
      <c r="F65" s="40"/>
      <c r="G65" s="41"/>
      <c r="H65" s="42"/>
      <c r="I65" s="40"/>
      <c r="J65" s="43"/>
      <c r="K65" s="44" t="str">
        <f aca="false">IF(N(D65)=0,"",E65/D65)</f>
        <v/>
      </c>
      <c r="L65" s="44" t="str">
        <f aca="false">IF(N(E65)=0,"",I65/E65)</f>
        <v/>
      </c>
      <c r="M65" s="45" t="str">
        <f aca="false">IF(N(I65)=0,"",J65/I65)</f>
        <v/>
      </c>
      <c r="N65" s="45" t="str">
        <f aca="false">IF(N(E65)=0,"",J65/E65)</f>
        <v/>
      </c>
      <c r="O65" s="11"/>
    </row>
    <row r="66" customFormat="false" ht="15" hidden="false" customHeight="false" outlineLevel="0" collapsed="false">
      <c r="A66" s="38"/>
      <c r="B66" s="39" t="str">
        <f aca="false">IF(A66="","",CHOOSE(WEEKDAY(A66,2),"Lun","Mar","Mié","Jue","Vie","Sáb","Dom"))</f>
        <v/>
      </c>
      <c r="C66" s="11"/>
      <c r="D66" s="40"/>
      <c r="E66" s="40"/>
      <c r="F66" s="40"/>
      <c r="G66" s="41"/>
      <c r="H66" s="42"/>
      <c r="I66" s="40"/>
      <c r="J66" s="43"/>
      <c r="K66" s="44" t="str">
        <f aca="false">IF(N(D66)=0,"",E66/D66)</f>
        <v/>
      </c>
      <c r="L66" s="44" t="str">
        <f aca="false">IF(N(E66)=0,"",I66/E66)</f>
        <v/>
      </c>
      <c r="M66" s="45" t="str">
        <f aca="false">IF(N(I66)=0,"",J66/I66)</f>
        <v/>
      </c>
      <c r="N66" s="45" t="str">
        <f aca="false">IF(N(E66)=0,"",J66/E66)</f>
        <v/>
      </c>
      <c r="O66" s="11"/>
    </row>
    <row r="67" customFormat="false" ht="15" hidden="false" customHeight="false" outlineLevel="0" collapsed="false">
      <c r="A67" s="38"/>
      <c r="B67" s="39" t="str">
        <f aca="false">IF(A67="","",CHOOSE(WEEKDAY(A67,2),"Lun","Mar","Mié","Jue","Vie","Sáb","Dom"))</f>
        <v/>
      </c>
      <c r="C67" s="11"/>
      <c r="D67" s="40"/>
      <c r="E67" s="40"/>
      <c r="F67" s="40"/>
      <c r="G67" s="41"/>
      <c r="H67" s="42"/>
      <c r="I67" s="40"/>
      <c r="J67" s="43"/>
      <c r="K67" s="44" t="str">
        <f aca="false">IF(N(D67)=0,"",E67/D67)</f>
        <v/>
      </c>
      <c r="L67" s="44" t="str">
        <f aca="false">IF(N(E67)=0,"",I67/E67)</f>
        <v/>
      </c>
      <c r="M67" s="45" t="str">
        <f aca="false">IF(N(I67)=0,"",J67/I67)</f>
        <v/>
      </c>
      <c r="N67" s="45" t="str">
        <f aca="false">IF(N(E67)=0,"",J67/E67)</f>
        <v/>
      </c>
      <c r="O67" s="11"/>
    </row>
    <row r="68" customFormat="false" ht="15" hidden="false" customHeight="false" outlineLevel="0" collapsed="false">
      <c r="A68" s="38"/>
      <c r="B68" s="39" t="str">
        <f aca="false">IF(A68="","",CHOOSE(WEEKDAY(A68,2),"Lun","Mar","Mié","Jue","Vie","Sáb","Dom"))</f>
        <v/>
      </c>
      <c r="C68" s="11"/>
      <c r="D68" s="40"/>
      <c r="E68" s="40"/>
      <c r="F68" s="40"/>
      <c r="G68" s="41"/>
      <c r="H68" s="42"/>
      <c r="I68" s="40"/>
      <c r="J68" s="43"/>
      <c r="K68" s="44" t="str">
        <f aca="false">IF(N(D68)=0,"",E68/D68)</f>
        <v/>
      </c>
      <c r="L68" s="44" t="str">
        <f aca="false">IF(N(E68)=0,"",I68/E68)</f>
        <v/>
      </c>
      <c r="M68" s="45" t="str">
        <f aca="false">IF(N(I68)=0,"",J68/I68)</f>
        <v/>
      </c>
      <c r="N68" s="45" t="str">
        <f aca="false">IF(N(E68)=0,"",J68/E68)</f>
        <v/>
      </c>
      <c r="O68" s="11"/>
    </row>
    <row r="69" customFormat="false" ht="15" hidden="false" customHeight="false" outlineLevel="0" collapsed="false">
      <c r="A69" s="38"/>
      <c r="B69" s="39" t="str">
        <f aca="false">IF(A69="","",CHOOSE(WEEKDAY(A69,2),"Lun","Mar","Mié","Jue","Vie","Sáb","Dom"))</f>
        <v/>
      </c>
      <c r="C69" s="11"/>
      <c r="D69" s="40"/>
      <c r="E69" s="40"/>
      <c r="F69" s="40"/>
      <c r="G69" s="41"/>
      <c r="H69" s="42"/>
      <c r="I69" s="40"/>
      <c r="J69" s="43"/>
      <c r="K69" s="44" t="str">
        <f aca="false">IF(N(D69)=0,"",E69/D69)</f>
        <v/>
      </c>
      <c r="L69" s="44" t="str">
        <f aca="false">IF(N(E69)=0,"",I69/E69)</f>
        <v/>
      </c>
      <c r="M69" s="45" t="str">
        <f aca="false">IF(N(I69)=0,"",J69/I69)</f>
        <v/>
      </c>
      <c r="N69" s="45" t="str">
        <f aca="false">IF(N(E69)=0,"",J69/E69)</f>
        <v/>
      </c>
      <c r="O69" s="11"/>
    </row>
    <row r="70" customFormat="false" ht="15" hidden="false" customHeight="false" outlineLevel="0" collapsed="false">
      <c r="A70" s="38"/>
      <c r="B70" s="39" t="str">
        <f aca="false">IF(A70="","",CHOOSE(WEEKDAY(A70,2),"Lun","Mar","Mié","Jue","Vie","Sáb","Dom"))</f>
        <v/>
      </c>
      <c r="C70" s="11"/>
      <c r="D70" s="40"/>
      <c r="E70" s="40"/>
      <c r="F70" s="40"/>
      <c r="G70" s="41"/>
      <c r="H70" s="42"/>
      <c r="I70" s="40"/>
      <c r="J70" s="43"/>
      <c r="K70" s="44" t="str">
        <f aca="false">IF(N(D70)=0,"",E70/D70)</f>
        <v/>
      </c>
      <c r="L70" s="44" t="str">
        <f aca="false">IF(N(E70)=0,"",I70/E70)</f>
        <v/>
      </c>
      <c r="M70" s="45" t="str">
        <f aca="false">IF(N(I70)=0,"",J70/I70)</f>
        <v/>
      </c>
      <c r="N70" s="45" t="str">
        <f aca="false">IF(N(E70)=0,"",J70/E70)</f>
        <v/>
      </c>
      <c r="O70" s="11"/>
    </row>
    <row r="71" customFormat="false" ht="15" hidden="false" customHeight="false" outlineLevel="0" collapsed="false">
      <c r="A71" s="38"/>
      <c r="B71" s="39" t="str">
        <f aca="false">IF(A71="","",CHOOSE(WEEKDAY(A71,2),"Lun","Mar","Mié","Jue","Vie","Sáb","Dom"))</f>
        <v/>
      </c>
      <c r="C71" s="11"/>
      <c r="D71" s="40"/>
      <c r="E71" s="40"/>
      <c r="F71" s="40"/>
      <c r="G71" s="41"/>
      <c r="H71" s="42"/>
      <c r="I71" s="40"/>
      <c r="J71" s="43"/>
      <c r="K71" s="44" t="str">
        <f aca="false">IF(N(D71)=0,"",E71/D71)</f>
        <v/>
      </c>
      <c r="L71" s="44" t="str">
        <f aca="false">IF(N(E71)=0,"",I71/E71)</f>
        <v/>
      </c>
      <c r="M71" s="45" t="str">
        <f aca="false">IF(N(I71)=0,"",J71/I71)</f>
        <v/>
      </c>
      <c r="N71" s="45" t="str">
        <f aca="false">IF(N(E71)=0,"",J71/E71)</f>
        <v/>
      </c>
      <c r="O71" s="11"/>
    </row>
    <row r="72" customFormat="false" ht="15" hidden="false" customHeight="false" outlineLevel="0" collapsed="false">
      <c r="A72" s="38"/>
      <c r="B72" s="39" t="str">
        <f aca="false">IF(A72="","",CHOOSE(WEEKDAY(A72,2),"Lun","Mar","Mié","Jue","Vie","Sáb","Dom"))</f>
        <v/>
      </c>
      <c r="C72" s="11"/>
      <c r="D72" s="40"/>
      <c r="E72" s="40"/>
      <c r="F72" s="40"/>
      <c r="G72" s="41"/>
      <c r="H72" s="42"/>
      <c r="I72" s="40"/>
      <c r="J72" s="43"/>
      <c r="K72" s="44" t="str">
        <f aca="false">IF(N(D72)=0,"",E72/D72)</f>
        <v/>
      </c>
      <c r="L72" s="44" t="str">
        <f aca="false">IF(N(E72)=0,"",I72/E72)</f>
        <v/>
      </c>
      <c r="M72" s="45" t="str">
        <f aca="false">IF(N(I72)=0,"",J72/I72)</f>
        <v/>
      </c>
      <c r="N72" s="45" t="str">
        <f aca="false">IF(N(E72)=0,"",J72/E72)</f>
        <v/>
      </c>
      <c r="O72" s="11"/>
    </row>
    <row r="73" customFormat="false" ht="15" hidden="false" customHeight="false" outlineLevel="0" collapsed="false">
      <c r="A73" s="38"/>
      <c r="B73" s="39" t="str">
        <f aca="false">IF(A73="","",CHOOSE(WEEKDAY(A73,2),"Lun","Mar","Mié","Jue","Vie","Sáb","Dom"))</f>
        <v/>
      </c>
      <c r="C73" s="11"/>
      <c r="D73" s="40"/>
      <c r="E73" s="40"/>
      <c r="F73" s="40"/>
      <c r="G73" s="41"/>
      <c r="H73" s="42"/>
      <c r="I73" s="40"/>
      <c r="J73" s="43"/>
      <c r="K73" s="44" t="str">
        <f aca="false">IF(N(D73)=0,"",E73/D73)</f>
        <v/>
      </c>
      <c r="L73" s="44" t="str">
        <f aca="false">IF(N(E73)=0,"",I73/E73)</f>
        <v/>
      </c>
      <c r="M73" s="45" t="str">
        <f aca="false">IF(N(I73)=0,"",J73/I73)</f>
        <v/>
      </c>
      <c r="N73" s="45" t="str">
        <f aca="false">IF(N(E73)=0,"",J73/E73)</f>
        <v/>
      </c>
      <c r="O73" s="11"/>
    </row>
    <row r="74" customFormat="false" ht="15" hidden="false" customHeight="false" outlineLevel="0" collapsed="false">
      <c r="A74" s="38"/>
      <c r="B74" s="39" t="str">
        <f aca="false">IF(A74="","",CHOOSE(WEEKDAY(A74,2),"Lun","Mar","Mié","Jue","Vie","Sáb","Dom"))</f>
        <v/>
      </c>
      <c r="C74" s="11"/>
      <c r="D74" s="40"/>
      <c r="E74" s="40"/>
      <c r="F74" s="40"/>
      <c r="G74" s="41"/>
      <c r="H74" s="42"/>
      <c r="I74" s="40"/>
      <c r="J74" s="43"/>
      <c r="K74" s="44" t="str">
        <f aca="false">IF(N(D74)=0,"",E74/D74)</f>
        <v/>
      </c>
      <c r="L74" s="44" t="str">
        <f aca="false">IF(N(E74)=0,"",I74/E74)</f>
        <v/>
      </c>
      <c r="M74" s="45" t="str">
        <f aca="false">IF(N(I74)=0,"",J74/I74)</f>
        <v/>
      </c>
      <c r="N74" s="45" t="str">
        <f aca="false">IF(N(E74)=0,"",J74/E74)</f>
        <v/>
      </c>
      <c r="O74" s="11"/>
    </row>
    <row r="75" customFormat="false" ht="15" hidden="false" customHeight="false" outlineLevel="0" collapsed="false">
      <c r="A75" s="38"/>
      <c r="B75" s="39" t="str">
        <f aca="false">IF(A75="","",CHOOSE(WEEKDAY(A75,2),"Lun","Mar","Mié","Jue","Vie","Sáb","Dom"))</f>
        <v/>
      </c>
      <c r="C75" s="11"/>
      <c r="D75" s="40"/>
      <c r="E75" s="40"/>
      <c r="F75" s="40"/>
      <c r="G75" s="41"/>
      <c r="H75" s="42"/>
      <c r="I75" s="40"/>
      <c r="J75" s="43"/>
      <c r="K75" s="44" t="str">
        <f aca="false">IF(N(D75)=0,"",E75/D75)</f>
        <v/>
      </c>
      <c r="L75" s="44" t="str">
        <f aca="false">IF(N(E75)=0,"",I75/E75)</f>
        <v/>
      </c>
      <c r="M75" s="45" t="str">
        <f aca="false">IF(N(I75)=0,"",J75/I75)</f>
        <v/>
      </c>
      <c r="N75" s="45" t="str">
        <f aca="false">IF(N(E75)=0,"",J75/E75)</f>
        <v/>
      </c>
      <c r="O75" s="11"/>
    </row>
    <row r="76" customFormat="false" ht="15" hidden="false" customHeight="false" outlineLevel="0" collapsed="false">
      <c r="A76" s="38"/>
      <c r="B76" s="39" t="str">
        <f aca="false">IF(A76="","",CHOOSE(WEEKDAY(A76,2),"Lun","Mar","Mié","Jue","Vie","Sáb","Dom"))</f>
        <v/>
      </c>
      <c r="C76" s="11"/>
      <c r="D76" s="40"/>
      <c r="E76" s="40"/>
      <c r="F76" s="40"/>
      <c r="G76" s="41"/>
      <c r="H76" s="42"/>
      <c r="I76" s="40"/>
      <c r="J76" s="43"/>
      <c r="K76" s="44" t="str">
        <f aca="false">IF(N(D76)=0,"",E76/D76)</f>
        <v/>
      </c>
      <c r="L76" s="44" t="str">
        <f aca="false">IF(N(E76)=0,"",I76/E76)</f>
        <v/>
      </c>
      <c r="M76" s="45" t="str">
        <f aca="false">IF(N(I76)=0,"",J76/I76)</f>
        <v/>
      </c>
      <c r="N76" s="45" t="str">
        <f aca="false">IF(N(E76)=0,"",J76/E76)</f>
        <v/>
      </c>
      <c r="O76" s="11"/>
    </row>
    <row r="77" customFormat="false" ht="15" hidden="false" customHeight="false" outlineLevel="0" collapsed="false">
      <c r="A77" s="38"/>
      <c r="B77" s="39" t="str">
        <f aca="false">IF(A77="","",CHOOSE(WEEKDAY(A77,2),"Lun","Mar","Mié","Jue","Vie","Sáb","Dom"))</f>
        <v/>
      </c>
      <c r="C77" s="11"/>
      <c r="D77" s="40"/>
      <c r="E77" s="40"/>
      <c r="F77" s="40"/>
      <c r="G77" s="41"/>
      <c r="H77" s="42"/>
      <c r="I77" s="40"/>
      <c r="J77" s="43"/>
      <c r="K77" s="44" t="str">
        <f aca="false">IF(N(D77)=0,"",E77/D77)</f>
        <v/>
      </c>
      <c r="L77" s="44" t="str">
        <f aca="false">IF(N(E77)=0,"",I77/E77)</f>
        <v/>
      </c>
      <c r="M77" s="45" t="str">
        <f aca="false">IF(N(I77)=0,"",J77/I77)</f>
        <v/>
      </c>
      <c r="N77" s="45" t="str">
        <f aca="false">IF(N(E77)=0,"",J77/E77)</f>
        <v/>
      </c>
      <c r="O77" s="11"/>
    </row>
    <row r="78" customFormat="false" ht="15" hidden="false" customHeight="false" outlineLevel="0" collapsed="false">
      <c r="A78" s="38"/>
      <c r="B78" s="39" t="str">
        <f aca="false">IF(A78="","",CHOOSE(WEEKDAY(A78,2),"Lun","Mar","Mié","Jue","Vie","Sáb","Dom"))</f>
        <v/>
      </c>
      <c r="C78" s="11"/>
      <c r="D78" s="40"/>
      <c r="E78" s="40"/>
      <c r="F78" s="40"/>
      <c r="G78" s="41"/>
      <c r="H78" s="42"/>
      <c r="I78" s="40"/>
      <c r="J78" s="43"/>
      <c r="K78" s="44" t="str">
        <f aca="false">IF(N(D78)=0,"",E78/D78)</f>
        <v/>
      </c>
      <c r="L78" s="44" t="str">
        <f aca="false">IF(N(E78)=0,"",I78/E78)</f>
        <v/>
      </c>
      <c r="M78" s="45" t="str">
        <f aca="false">IF(N(I78)=0,"",J78/I78)</f>
        <v/>
      </c>
      <c r="N78" s="45" t="str">
        <f aca="false">IF(N(E78)=0,"",J78/E78)</f>
        <v/>
      </c>
      <c r="O78" s="11"/>
    </row>
    <row r="79" customFormat="false" ht="15" hidden="false" customHeight="false" outlineLevel="0" collapsed="false">
      <c r="A79" s="38"/>
      <c r="B79" s="39" t="str">
        <f aca="false">IF(A79="","",CHOOSE(WEEKDAY(A79,2),"Lun","Mar","Mié","Jue","Vie","Sáb","Dom"))</f>
        <v/>
      </c>
      <c r="C79" s="11"/>
      <c r="D79" s="40"/>
      <c r="E79" s="40"/>
      <c r="F79" s="40"/>
      <c r="G79" s="41"/>
      <c r="H79" s="42"/>
      <c r="I79" s="40"/>
      <c r="J79" s="43"/>
      <c r="K79" s="44" t="str">
        <f aca="false">IF(N(D79)=0,"",E79/D79)</f>
        <v/>
      </c>
      <c r="L79" s="44" t="str">
        <f aca="false">IF(N(E79)=0,"",I79/E79)</f>
        <v/>
      </c>
      <c r="M79" s="45" t="str">
        <f aca="false">IF(N(I79)=0,"",J79/I79)</f>
        <v/>
      </c>
      <c r="N79" s="45" t="str">
        <f aca="false">IF(N(E79)=0,"",J79/E79)</f>
        <v/>
      </c>
      <c r="O79" s="11"/>
    </row>
    <row r="80" customFormat="false" ht="15" hidden="false" customHeight="false" outlineLevel="0" collapsed="false">
      <c r="A80" s="38"/>
      <c r="B80" s="39" t="str">
        <f aca="false">IF(A80="","",CHOOSE(WEEKDAY(A80,2),"Lun","Mar","Mié","Jue","Vie","Sáb","Dom"))</f>
        <v/>
      </c>
      <c r="C80" s="11"/>
      <c r="D80" s="40"/>
      <c r="E80" s="40"/>
      <c r="F80" s="40"/>
      <c r="G80" s="41"/>
      <c r="H80" s="42"/>
      <c r="I80" s="40"/>
      <c r="J80" s="43"/>
      <c r="K80" s="44" t="str">
        <f aca="false">IF(N(D80)=0,"",E80/D80)</f>
        <v/>
      </c>
      <c r="L80" s="44" t="str">
        <f aca="false">IF(N(E80)=0,"",I80/E80)</f>
        <v/>
      </c>
      <c r="M80" s="45" t="str">
        <f aca="false">IF(N(I80)=0,"",J80/I80)</f>
        <v/>
      </c>
      <c r="N80" s="45" t="str">
        <f aca="false">IF(N(E80)=0,"",J80/E80)</f>
        <v/>
      </c>
      <c r="O80" s="11"/>
    </row>
    <row r="81" customFormat="false" ht="15" hidden="false" customHeight="false" outlineLevel="0" collapsed="false">
      <c r="A81" s="38"/>
      <c r="B81" s="39" t="str">
        <f aca="false">IF(A81="","",CHOOSE(WEEKDAY(A81,2),"Lun","Mar","Mié","Jue","Vie","Sáb","Dom"))</f>
        <v/>
      </c>
      <c r="C81" s="11"/>
      <c r="D81" s="40"/>
      <c r="E81" s="40"/>
      <c r="F81" s="40"/>
      <c r="G81" s="41"/>
      <c r="H81" s="42"/>
      <c r="I81" s="40"/>
      <c r="J81" s="43"/>
      <c r="K81" s="44" t="str">
        <f aca="false">IF(N(D81)=0,"",E81/D81)</f>
        <v/>
      </c>
      <c r="L81" s="44" t="str">
        <f aca="false">IF(N(E81)=0,"",I81/E81)</f>
        <v/>
      </c>
      <c r="M81" s="45" t="str">
        <f aca="false">IF(N(I81)=0,"",J81/I81)</f>
        <v/>
      </c>
      <c r="N81" s="45" t="str">
        <f aca="false">IF(N(E81)=0,"",J81/E81)</f>
        <v/>
      </c>
      <c r="O81" s="11"/>
    </row>
    <row r="82" customFormat="false" ht="15" hidden="false" customHeight="false" outlineLevel="0" collapsed="false">
      <c r="A82" s="38"/>
      <c r="B82" s="39" t="str">
        <f aca="false">IF(A82="","",CHOOSE(WEEKDAY(A82,2),"Lun","Mar","Mié","Jue","Vie","Sáb","Dom"))</f>
        <v/>
      </c>
      <c r="C82" s="11"/>
      <c r="D82" s="40"/>
      <c r="E82" s="40"/>
      <c r="F82" s="40"/>
      <c r="G82" s="41"/>
      <c r="H82" s="42"/>
      <c r="I82" s="40"/>
      <c r="J82" s="43"/>
      <c r="K82" s="44" t="str">
        <f aca="false">IF(N(D82)=0,"",E82/D82)</f>
        <v/>
      </c>
      <c r="L82" s="44" t="str">
        <f aca="false">IF(N(E82)=0,"",I82/E82)</f>
        <v/>
      </c>
      <c r="M82" s="45" t="str">
        <f aca="false">IF(N(I82)=0,"",J82/I82)</f>
        <v/>
      </c>
      <c r="N82" s="45" t="str">
        <f aca="false">IF(N(E82)=0,"",J82/E82)</f>
        <v/>
      </c>
      <c r="O82" s="11"/>
    </row>
    <row r="83" customFormat="false" ht="15" hidden="false" customHeight="false" outlineLevel="0" collapsed="false">
      <c r="A83" s="38"/>
      <c r="B83" s="39" t="str">
        <f aca="false">IF(A83="","",CHOOSE(WEEKDAY(A83,2),"Lun","Mar","Mié","Jue","Vie","Sáb","Dom"))</f>
        <v/>
      </c>
      <c r="C83" s="11"/>
      <c r="D83" s="40"/>
      <c r="E83" s="40"/>
      <c r="F83" s="40"/>
      <c r="G83" s="41"/>
      <c r="H83" s="42"/>
      <c r="I83" s="40"/>
      <c r="J83" s="43"/>
      <c r="K83" s="44" t="str">
        <f aca="false">IF(N(D83)=0,"",E83/D83)</f>
        <v/>
      </c>
      <c r="L83" s="44" t="str">
        <f aca="false">IF(N(E83)=0,"",I83/E83)</f>
        <v/>
      </c>
      <c r="M83" s="45" t="str">
        <f aca="false">IF(N(I83)=0,"",J83/I83)</f>
        <v/>
      </c>
      <c r="N83" s="45" t="str">
        <f aca="false">IF(N(E83)=0,"",J83/E83)</f>
        <v/>
      </c>
      <c r="O83" s="11"/>
    </row>
    <row r="84" customFormat="false" ht="15" hidden="false" customHeight="false" outlineLevel="0" collapsed="false">
      <c r="A84" s="38"/>
      <c r="B84" s="39" t="str">
        <f aca="false">IF(A84="","",CHOOSE(WEEKDAY(A84,2),"Lun","Mar","Mié","Jue","Vie","Sáb","Dom"))</f>
        <v/>
      </c>
      <c r="C84" s="11"/>
      <c r="D84" s="40"/>
      <c r="E84" s="40"/>
      <c r="F84" s="40"/>
      <c r="G84" s="41"/>
      <c r="H84" s="42"/>
      <c r="I84" s="40"/>
      <c r="J84" s="43"/>
      <c r="K84" s="44" t="str">
        <f aca="false">IF(N(D84)=0,"",E84/D84)</f>
        <v/>
      </c>
      <c r="L84" s="44" t="str">
        <f aca="false">IF(N(E84)=0,"",I84/E84)</f>
        <v/>
      </c>
      <c r="M84" s="45" t="str">
        <f aca="false">IF(N(I84)=0,"",J84/I84)</f>
        <v/>
      </c>
      <c r="N84" s="45" t="str">
        <f aca="false">IF(N(E84)=0,"",J84/E84)</f>
        <v/>
      </c>
      <c r="O84" s="11"/>
    </row>
    <row r="85" customFormat="false" ht="15" hidden="false" customHeight="false" outlineLevel="0" collapsed="false">
      <c r="A85" s="38"/>
      <c r="B85" s="39" t="str">
        <f aca="false">IF(A85="","",CHOOSE(WEEKDAY(A85,2),"Lun","Mar","Mié","Jue","Vie","Sáb","Dom"))</f>
        <v/>
      </c>
      <c r="C85" s="11"/>
      <c r="D85" s="40"/>
      <c r="E85" s="40"/>
      <c r="F85" s="40"/>
      <c r="G85" s="41"/>
      <c r="H85" s="42"/>
      <c r="I85" s="40"/>
      <c r="J85" s="43"/>
      <c r="K85" s="44" t="str">
        <f aca="false">IF(N(D85)=0,"",E85/D85)</f>
        <v/>
      </c>
      <c r="L85" s="44" t="str">
        <f aca="false">IF(N(E85)=0,"",I85/E85)</f>
        <v/>
      </c>
      <c r="M85" s="45" t="str">
        <f aca="false">IF(N(I85)=0,"",J85/I85)</f>
        <v/>
      </c>
      <c r="N85" s="45" t="str">
        <f aca="false">IF(N(E85)=0,"",J85/E85)</f>
        <v/>
      </c>
      <c r="O85" s="11"/>
    </row>
    <row r="86" customFormat="false" ht="15" hidden="false" customHeight="false" outlineLevel="0" collapsed="false">
      <c r="A86" s="38"/>
      <c r="B86" s="39" t="str">
        <f aca="false">IF(A86="","",CHOOSE(WEEKDAY(A86,2),"Lun","Mar","Mié","Jue","Vie","Sáb","Dom"))</f>
        <v/>
      </c>
      <c r="C86" s="11"/>
      <c r="D86" s="40"/>
      <c r="E86" s="40"/>
      <c r="F86" s="40"/>
      <c r="G86" s="41"/>
      <c r="H86" s="42"/>
      <c r="I86" s="40"/>
      <c r="J86" s="43"/>
      <c r="K86" s="44" t="str">
        <f aca="false">IF(N(D86)=0,"",E86/D86)</f>
        <v/>
      </c>
      <c r="L86" s="44" t="str">
        <f aca="false">IF(N(E86)=0,"",I86/E86)</f>
        <v/>
      </c>
      <c r="M86" s="45" t="str">
        <f aca="false">IF(N(I86)=0,"",J86/I86)</f>
        <v/>
      </c>
      <c r="N86" s="45" t="str">
        <f aca="false">IF(N(E86)=0,"",J86/E86)</f>
        <v/>
      </c>
      <c r="O86" s="11"/>
    </row>
    <row r="87" customFormat="false" ht="15" hidden="false" customHeight="false" outlineLevel="0" collapsed="false">
      <c r="A87" s="38"/>
      <c r="B87" s="39" t="str">
        <f aca="false">IF(A87="","",CHOOSE(WEEKDAY(A87,2),"Lun","Mar","Mié","Jue","Vie","Sáb","Dom"))</f>
        <v/>
      </c>
      <c r="C87" s="11"/>
      <c r="D87" s="40"/>
      <c r="E87" s="40"/>
      <c r="F87" s="40"/>
      <c r="G87" s="41"/>
      <c r="H87" s="42"/>
      <c r="I87" s="40"/>
      <c r="J87" s="43"/>
      <c r="K87" s="44" t="str">
        <f aca="false">IF(N(D87)=0,"",E87/D87)</f>
        <v/>
      </c>
      <c r="L87" s="44" t="str">
        <f aca="false">IF(N(E87)=0,"",I87/E87)</f>
        <v/>
      </c>
      <c r="M87" s="45" t="str">
        <f aca="false">IF(N(I87)=0,"",J87/I87)</f>
        <v/>
      </c>
      <c r="N87" s="45" t="str">
        <f aca="false">IF(N(E87)=0,"",J87/E87)</f>
        <v/>
      </c>
      <c r="O87" s="11"/>
    </row>
    <row r="88" customFormat="false" ht="15" hidden="false" customHeight="false" outlineLevel="0" collapsed="false">
      <c r="A88" s="38"/>
      <c r="B88" s="39" t="str">
        <f aca="false">IF(A88="","",CHOOSE(WEEKDAY(A88,2),"Lun","Mar","Mié","Jue","Vie","Sáb","Dom"))</f>
        <v/>
      </c>
      <c r="C88" s="11"/>
      <c r="D88" s="40"/>
      <c r="E88" s="40"/>
      <c r="F88" s="40"/>
      <c r="G88" s="41"/>
      <c r="H88" s="42"/>
      <c r="I88" s="40"/>
      <c r="J88" s="43"/>
      <c r="K88" s="44" t="str">
        <f aca="false">IF(N(D88)=0,"",E88/D88)</f>
        <v/>
      </c>
      <c r="L88" s="44" t="str">
        <f aca="false">IF(N(E88)=0,"",I88/E88)</f>
        <v/>
      </c>
      <c r="M88" s="45" t="str">
        <f aca="false">IF(N(I88)=0,"",J88/I88)</f>
        <v/>
      </c>
      <c r="N88" s="45" t="str">
        <f aca="false">IF(N(E88)=0,"",J88/E88)</f>
        <v/>
      </c>
      <c r="O88" s="11"/>
    </row>
    <row r="89" customFormat="false" ht="15" hidden="false" customHeight="false" outlineLevel="0" collapsed="false">
      <c r="A89" s="38"/>
      <c r="B89" s="39" t="str">
        <f aca="false">IF(A89="","",CHOOSE(WEEKDAY(A89,2),"Lun","Mar","Mié","Jue","Vie","Sáb","Dom"))</f>
        <v/>
      </c>
      <c r="C89" s="11"/>
      <c r="D89" s="40"/>
      <c r="E89" s="40"/>
      <c r="F89" s="40"/>
      <c r="G89" s="41"/>
      <c r="H89" s="42"/>
      <c r="I89" s="40"/>
      <c r="J89" s="43"/>
      <c r="K89" s="44" t="str">
        <f aca="false">IF(N(D89)=0,"",E89/D89)</f>
        <v/>
      </c>
      <c r="L89" s="44" t="str">
        <f aca="false">IF(N(E89)=0,"",I89/E89)</f>
        <v/>
      </c>
      <c r="M89" s="45" t="str">
        <f aca="false">IF(N(I89)=0,"",J89/I89)</f>
        <v/>
      </c>
      <c r="N89" s="45" t="str">
        <f aca="false">IF(N(E89)=0,"",J89/E89)</f>
        <v/>
      </c>
      <c r="O89" s="11"/>
    </row>
    <row r="90" customFormat="false" ht="15" hidden="false" customHeight="false" outlineLevel="0" collapsed="false">
      <c r="A90" s="38"/>
      <c r="B90" s="39" t="str">
        <f aca="false">IF(A90="","",CHOOSE(WEEKDAY(A90,2),"Lun","Mar","Mié","Jue","Vie","Sáb","Dom"))</f>
        <v/>
      </c>
      <c r="C90" s="11"/>
      <c r="D90" s="40"/>
      <c r="E90" s="40"/>
      <c r="F90" s="40"/>
      <c r="G90" s="41"/>
      <c r="H90" s="42"/>
      <c r="I90" s="40"/>
      <c r="J90" s="43"/>
      <c r="K90" s="44" t="str">
        <f aca="false">IF(N(D90)=0,"",E90/D90)</f>
        <v/>
      </c>
      <c r="L90" s="44" t="str">
        <f aca="false">IF(N(E90)=0,"",I90/E90)</f>
        <v/>
      </c>
      <c r="M90" s="45" t="str">
        <f aca="false">IF(N(I90)=0,"",J90/I90)</f>
        <v/>
      </c>
      <c r="N90" s="45" t="str">
        <f aca="false">IF(N(E90)=0,"",J90/E90)</f>
        <v/>
      </c>
      <c r="O90" s="11"/>
    </row>
    <row r="91" customFormat="false" ht="15" hidden="false" customHeight="false" outlineLevel="0" collapsed="false">
      <c r="A91" s="38"/>
      <c r="B91" s="39" t="str">
        <f aca="false">IF(A91="","",CHOOSE(WEEKDAY(A91,2),"Lun","Mar","Mié","Jue","Vie","Sáb","Dom"))</f>
        <v/>
      </c>
      <c r="C91" s="11"/>
      <c r="D91" s="40"/>
      <c r="E91" s="40"/>
      <c r="F91" s="40"/>
      <c r="G91" s="41"/>
      <c r="H91" s="42"/>
      <c r="I91" s="40"/>
      <c r="J91" s="43"/>
      <c r="K91" s="44" t="str">
        <f aca="false">IF(N(D91)=0,"",E91/D91)</f>
        <v/>
      </c>
      <c r="L91" s="44" t="str">
        <f aca="false">IF(N(E91)=0,"",I91/E91)</f>
        <v/>
      </c>
      <c r="M91" s="45" t="str">
        <f aca="false">IF(N(I91)=0,"",J91/I91)</f>
        <v/>
      </c>
      <c r="N91" s="45" t="str">
        <f aca="false">IF(N(E91)=0,"",J91/E91)</f>
        <v/>
      </c>
      <c r="O91" s="11"/>
    </row>
    <row r="92" customFormat="false" ht="15" hidden="false" customHeight="false" outlineLevel="0" collapsed="false">
      <c r="A92" s="38"/>
      <c r="B92" s="39" t="str">
        <f aca="false">IF(A92="","",CHOOSE(WEEKDAY(A92,2),"Lun","Mar","Mié","Jue","Vie","Sáb","Dom"))</f>
        <v/>
      </c>
      <c r="C92" s="11"/>
      <c r="D92" s="40"/>
      <c r="E92" s="40"/>
      <c r="F92" s="40"/>
      <c r="G92" s="41"/>
      <c r="H92" s="42"/>
      <c r="I92" s="40"/>
      <c r="J92" s="43"/>
      <c r="K92" s="44" t="str">
        <f aca="false">IF(N(D92)=0,"",E92/D92)</f>
        <v/>
      </c>
      <c r="L92" s="44" t="str">
        <f aca="false">IF(N(E92)=0,"",I92/E92)</f>
        <v/>
      </c>
      <c r="M92" s="45" t="str">
        <f aca="false">IF(N(I92)=0,"",J92/I92)</f>
        <v/>
      </c>
      <c r="N92" s="45" t="str">
        <f aca="false">IF(N(E92)=0,"",J92/E92)</f>
        <v/>
      </c>
      <c r="O92" s="11"/>
    </row>
    <row r="93" customFormat="false" ht="15" hidden="false" customHeight="false" outlineLevel="0" collapsed="false">
      <c r="A93" s="38"/>
      <c r="B93" s="39" t="str">
        <f aca="false">IF(A93="","",CHOOSE(WEEKDAY(A93,2),"Lun","Mar","Mié","Jue","Vie","Sáb","Dom"))</f>
        <v/>
      </c>
      <c r="C93" s="11"/>
      <c r="D93" s="40"/>
      <c r="E93" s="40"/>
      <c r="F93" s="40"/>
      <c r="G93" s="41"/>
      <c r="H93" s="42"/>
      <c r="I93" s="40"/>
      <c r="J93" s="43"/>
      <c r="K93" s="44" t="str">
        <f aca="false">IF(N(D93)=0,"",E93/D93)</f>
        <v/>
      </c>
      <c r="L93" s="44" t="str">
        <f aca="false">IF(N(E93)=0,"",I93/E93)</f>
        <v/>
      </c>
      <c r="M93" s="45" t="str">
        <f aca="false">IF(N(I93)=0,"",J93/I93)</f>
        <v/>
      </c>
      <c r="N93" s="45" t="str">
        <f aca="false">IF(N(E93)=0,"",J93/E93)</f>
        <v/>
      </c>
      <c r="O93" s="11"/>
    </row>
    <row r="94" customFormat="false" ht="15" hidden="false" customHeight="false" outlineLevel="0" collapsed="false">
      <c r="A94" s="38"/>
      <c r="B94" s="39" t="str">
        <f aca="false">IF(A94="","",CHOOSE(WEEKDAY(A94,2),"Lun","Mar","Mié","Jue","Vie","Sáb","Dom"))</f>
        <v/>
      </c>
      <c r="C94" s="11"/>
      <c r="D94" s="40"/>
      <c r="E94" s="40"/>
      <c r="F94" s="40"/>
      <c r="G94" s="41"/>
      <c r="H94" s="42"/>
      <c r="I94" s="40"/>
      <c r="J94" s="43"/>
      <c r="K94" s="44" t="str">
        <f aca="false">IF(N(D94)=0,"",E94/D94)</f>
        <v/>
      </c>
      <c r="L94" s="44" t="str">
        <f aca="false">IF(N(E94)=0,"",I94/E94)</f>
        <v/>
      </c>
      <c r="M94" s="45" t="str">
        <f aca="false">IF(N(I94)=0,"",J94/I94)</f>
        <v/>
      </c>
      <c r="N94" s="45" t="str">
        <f aca="false">IF(N(E94)=0,"",J94/E94)</f>
        <v/>
      </c>
      <c r="O94" s="11"/>
    </row>
    <row r="95" customFormat="false" ht="15" hidden="false" customHeight="false" outlineLevel="0" collapsed="false">
      <c r="A95" s="38"/>
      <c r="B95" s="39" t="str">
        <f aca="false">IF(A95="","",CHOOSE(WEEKDAY(A95,2),"Lun","Mar","Mié","Jue","Vie","Sáb","Dom"))</f>
        <v/>
      </c>
      <c r="C95" s="11"/>
      <c r="D95" s="40"/>
      <c r="E95" s="40"/>
      <c r="F95" s="40"/>
      <c r="G95" s="41"/>
      <c r="H95" s="42"/>
      <c r="I95" s="40"/>
      <c r="J95" s="43"/>
      <c r="K95" s="44" t="str">
        <f aca="false">IF(N(D95)=0,"",E95/D95)</f>
        <v/>
      </c>
      <c r="L95" s="44" t="str">
        <f aca="false">IF(N(E95)=0,"",I95/E95)</f>
        <v/>
      </c>
      <c r="M95" s="45" t="str">
        <f aca="false">IF(N(I95)=0,"",J95/I95)</f>
        <v/>
      </c>
      <c r="N95" s="45" t="str">
        <f aca="false">IF(N(E95)=0,"",J95/E95)</f>
        <v/>
      </c>
      <c r="O95" s="11"/>
    </row>
    <row r="96" customFormat="false" ht="15" hidden="false" customHeight="false" outlineLevel="0" collapsed="false">
      <c r="A96" s="38"/>
      <c r="B96" s="39" t="str">
        <f aca="false">IF(A96="","",CHOOSE(WEEKDAY(A96,2),"Lun","Mar","Mié","Jue","Vie","Sáb","Dom"))</f>
        <v/>
      </c>
      <c r="C96" s="11"/>
      <c r="D96" s="40"/>
      <c r="E96" s="40"/>
      <c r="F96" s="40"/>
      <c r="G96" s="41"/>
      <c r="H96" s="42"/>
      <c r="I96" s="40"/>
      <c r="J96" s="43"/>
      <c r="K96" s="44" t="str">
        <f aca="false">IF(N(D96)=0,"",E96/D96)</f>
        <v/>
      </c>
      <c r="L96" s="44" t="str">
        <f aca="false">IF(N(E96)=0,"",I96/E96)</f>
        <v/>
      </c>
      <c r="M96" s="45" t="str">
        <f aca="false">IF(N(I96)=0,"",J96/I96)</f>
        <v/>
      </c>
      <c r="N96" s="45" t="str">
        <f aca="false">IF(N(E96)=0,"",J96/E96)</f>
        <v/>
      </c>
      <c r="O96" s="11"/>
    </row>
    <row r="97" customFormat="false" ht="15" hidden="false" customHeight="false" outlineLevel="0" collapsed="false">
      <c r="A97" s="38"/>
      <c r="B97" s="39" t="str">
        <f aca="false">IF(A97="","",CHOOSE(WEEKDAY(A97,2),"Lun","Mar","Mié","Jue","Vie","Sáb","Dom"))</f>
        <v/>
      </c>
      <c r="C97" s="11"/>
      <c r="D97" s="40"/>
      <c r="E97" s="40"/>
      <c r="F97" s="40"/>
      <c r="G97" s="41"/>
      <c r="H97" s="42"/>
      <c r="I97" s="40"/>
      <c r="J97" s="43"/>
      <c r="K97" s="44" t="str">
        <f aca="false">IF(N(D97)=0,"",E97/D97)</f>
        <v/>
      </c>
      <c r="L97" s="44" t="str">
        <f aca="false">IF(N(E97)=0,"",I97/E97)</f>
        <v/>
      </c>
      <c r="M97" s="45" t="str">
        <f aca="false">IF(N(I97)=0,"",J97/I97)</f>
        <v/>
      </c>
      <c r="N97" s="45" t="str">
        <f aca="false">IF(N(E97)=0,"",J97/E97)</f>
        <v/>
      </c>
      <c r="O97" s="11"/>
    </row>
    <row r="98" customFormat="false" ht="15" hidden="false" customHeight="false" outlineLevel="0" collapsed="false">
      <c r="A98" s="38"/>
      <c r="B98" s="39" t="str">
        <f aca="false">IF(A98="","",CHOOSE(WEEKDAY(A98,2),"Lun","Mar","Mié","Jue","Vie","Sáb","Dom"))</f>
        <v/>
      </c>
      <c r="C98" s="11"/>
      <c r="D98" s="40"/>
      <c r="E98" s="40"/>
      <c r="F98" s="40"/>
      <c r="G98" s="41"/>
      <c r="H98" s="42"/>
      <c r="I98" s="40"/>
      <c r="J98" s="43"/>
      <c r="K98" s="44" t="str">
        <f aca="false">IF(N(D98)=0,"",E98/D98)</f>
        <v/>
      </c>
      <c r="L98" s="44" t="str">
        <f aca="false">IF(N(E98)=0,"",I98/E98)</f>
        <v/>
      </c>
      <c r="M98" s="45" t="str">
        <f aca="false">IF(N(I98)=0,"",J98/I98)</f>
        <v/>
      </c>
      <c r="N98" s="45" t="str">
        <f aca="false">IF(N(E98)=0,"",J98/E98)</f>
        <v/>
      </c>
      <c r="O98" s="11"/>
    </row>
    <row r="99" customFormat="false" ht="15" hidden="false" customHeight="false" outlineLevel="0" collapsed="false">
      <c r="A99" s="38"/>
      <c r="B99" s="39" t="str">
        <f aca="false">IF(A99="","",CHOOSE(WEEKDAY(A99,2),"Lun","Mar","Mié","Jue","Vie","Sáb","Dom"))</f>
        <v/>
      </c>
      <c r="C99" s="11"/>
      <c r="D99" s="40"/>
      <c r="E99" s="40"/>
      <c r="F99" s="40"/>
      <c r="G99" s="41"/>
      <c r="H99" s="42"/>
      <c r="I99" s="40"/>
      <c r="J99" s="43"/>
      <c r="K99" s="44" t="str">
        <f aca="false">IF(N(D99)=0,"",E99/D99)</f>
        <v/>
      </c>
      <c r="L99" s="44" t="str">
        <f aca="false">IF(N(E99)=0,"",I99/E99)</f>
        <v/>
      </c>
      <c r="M99" s="45" t="str">
        <f aca="false">IF(N(I99)=0,"",J99/I99)</f>
        <v/>
      </c>
      <c r="N99" s="45" t="str">
        <f aca="false">IF(N(E99)=0,"",J99/E99)</f>
        <v/>
      </c>
      <c r="O99" s="11"/>
    </row>
    <row r="100" customFormat="false" ht="15" hidden="false" customHeight="false" outlineLevel="0" collapsed="false">
      <c r="A100" s="38"/>
      <c r="B100" s="39" t="str">
        <f aca="false">IF(A100="","",CHOOSE(WEEKDAY(A100,2),"Lun","Mar","Mié","Jue","Vie","Sáb","Dom"))</f>
        <v/>
      </c>
      <c r="C100" s="11"/>
      <c r="D100" s="40"/>
      <c r="E100" s="40"/>
      <c r="F100" s="40"/>
      <c r="G100" s="41"/>
      <c r="H100" s="42"/>
      <c r="I100" s="40"/>
      <c r="J100" s="43"/>
      <c r="K100" s="44" t="str">
        <f aca="false">IF(N(D100)=0,"",E100/D100)</f>
        <v/>
      </c>
      <c r="L100" s="44" t="str">
        <f aca="false">IF(N(E100)=0,"",I100/E100)</f>
        <v/>
      </c>
      <c r="M100" s="45" t="str">
        <f aca="false">IF(N(I100)=0,"",J100/I100)</f>
        <v/>
      </c>
      <c r="N100" s="45" t="str">
        <f aca="false">IF(N(E100)=0,"",J100/E100)</f>
        <v/>
      </c>
      <c r="O100" s="11"/>
    </row>
    <row r="101" customFormat="false" ht="15" hidden="false" customHeight="false" outlineLevel="0" collapsed="false">
      <c r="A101" s="38"/>
      <c r="B101" s="39" t="str">
        <f aca="false">IF(A101="","",CHOOSE(WEEKDAY(A101,2),"Lun","Mar","Mié","Jue","Vie","Sáb","Dom"))</f>
        <v/>
      </c>
      <c r="C101" s="11"/>
      <c r="D101" s="40"/>
      <c r="E101" s="40"/>
      <c r="F101" s="40"/>
      <c r="G101" s="41"/>
      <c r="H101" s="42"/>
      <c r="I101" s="40"/>
      <c r="J101" s="43"/>
      <c r="K101" s="44" t="str">
        <f aca="false">IF(N(D101)=0,"",E101/D101)</f>
        <v/>
      </c>
      <c r="L101" s="44" t="str">
        <f aca="false">IF(N(E101)=0,"",I101/E101)</f>
        <v/>
      </c>
      <c r="M101" s="45" t="str">
        <f aca="false">IF(N(I101)=0,"",J101/I101)</f>
        <v/>
      </c>
      <c r="N101" s="45" t="str">
        <f aca="false">IF(N(E101)=0,"",J101/E101)</f>
        <v/>
      </c>
      <c r="O101" s="11"/>
    </row>
    <row r="102" customFormat="false" ht="15" hidden="false" customHeight="false" outlineLevel="0" collapsed="false">
      <c r="A102" s="38"/>
      <c r="B102" s="39" t="str">
        <f aca="false">IF(A102="","",CHOOSE(WEEKDAY(A102,2),"Lun","Mar","Mié","Jue","Vie","Sáb","Dom"))</f>
        <v/>
      </c>
      <c r="C102" s="11"/>
      <c r="D102" s="40"/>
      <c r="E102" s="40"/>
      <c r="F102" s="40"/>
      <c r="G102" s="41"/>
      <c r="H102" s="42"/>
      <c r="I102" s="40"/>
      <c r="J102" s="43"/>
      <c r="K102" s="44" t="str">
        <f aca="false">IF(N(D102)=0,"",E102/D102)</f>
        <v/>
      </c>
      <c r="L102" s="44" t="str">
        <f aca="false">IF(N(E102)=0,"",I102/E102)</f>
        <v/>
      </c>
      <c r="M102" s="45" t="str">
        <f aca="false">IF(N(I102)=0,"",J102/I102)</f>
        <v/>
      </c>
      <c r="N102" s="45" t="str">
        <f aca="false">IF(N(E102)=0,"",J102/E102)</f>
        <v/>
      </c>
      <c r="O102" s="11"/>
    </row>
    <row r="103" customFormat="false" ht="15" hidden="false" customHeight="false" outlineLevel="0" collapsed="false">
      <c r="A103" s="38"/>
      <c r="B103" s="39" t="str">
        <f aca="false">IF(A103="","",CHOOSE(WEEKDAY(A103,2),"Lun","Mar","Mié","Jue","Vie","Sáb","Dom"))</f>
        <v/>
      </c>
      <c r="C103" s="11"/>
      <c r="D103" s="40"/>
      <c r="E103" s="40"/>
      <c r="F103" s="40"/>
      <c r="G103" s="41"/>
      <c r="H103" s="42"/>
      <c r="I103" s="40"/>
      <c r="J103" s="43"/>
      <c r="K103" s="44" t="str">
        <f aca="false">IF(N(D103)=0,"",E103/D103)</f>
        <v/>
      </c>
      <c r="L103" s="44" t="str">
        <f aca="false">IF(N(E103)=0,"",I103/E103)</f>
        <v/>
      </c>
      <c r="M103" s="45" t="str">
        <f aca="false">IF(N(I103)=0,"",J103/I103)</f>
        <v/>
      </c>
      <c r="N103" s="45" t="str">
        <f aca="false">IF(N(E103)=0,"",J103/E103)</f>
        <v/>
      </c>
      <c r="O103" s="11"/>
    </row>
    <row r="104" customFormat="false" ht="15" hidden="false" customHeight="false" outlineLevel="0" collapsed="false">
      <c r="A104" s="38"/>
      <c r="B104" s="39" t="str">
        <f aca="false">IF(A104="","",CHOOSE(WEEKDAY(A104,2),"Lun","Mar","Mié","Jue","Vie","Sáb","Dom"))</f>
        <v/>
      </c>
      <c r="C104" s="11"/>
      <c r="D104" s="40"/>
      <c r="E104" s="40"/>
      <c r="F104" s="40"/>
      <c r="G104" s="41"/>
      <c r="H104" s="42"/>
      <c r="I104" s="40"/>
      <c r="J104" s="43"/>
      <c r="K104" s="44" t="str">
        <f aca="false">IF(N(D104)=0,"",E104/D104)</f>
        <v/>
      </c>
      <c r="L104" s="44" t="str">
        <f aca="false">IF(N(E104)=0,"",I104/E104)</f>
        <v/>
      </c>
      <c r="M104" s="45" t="str">
        <f aca="false">IF(N(I104)=0,"",J104/I104)</f>
        <v/>
      </c>
      <c r="N104" s="45" t="str">
        <f aca="false">IF(N(E104)=0,"",J104/E104)</f>
        <v/>
      </c>
      <c r="O104" s="11"/>
    </row>
    <row r="105" customFormat="false" ht="15" hidden="false" customHeight="false" outlineLevel="0" collapsed="false">
      <c r="A105" s="38"/>
      <c r="B105" s="39" t="str">
        <f aca="false">IF(A105="","",CHOOSE(WEEKDAY(A105,2),"Lun","Mar","Mié","Jue","Vie","Sáb","Dom"))</f>
        <v/>
      </c>
      <c r="C105" s="11"/>
      <c r="D105" s="40"/>
      <c r="E105" s="40"/>
      <c r="F105" s="40"/>
      <c r="G105" s="41"/>
      <c r="H105" s="42"/>
      <c r="I105" s="40"/>
      <c r="J105" s="43"/>
      <c r="K105" s="44" t="str">
        <f aca="false">IF(N(D105)=0,"",E105/D105)</f>
        <v/>
      </c>
      <c r="L105" s="44" t="str">
        <f aca="false">IF(N(E105)=0,"",I105/E105)</f>
        <v/>
      </c>
      <c r="M105" s="45" t="str">
        <f aca="false">IF(N(I105)=0,"",J105/I105)</f>
        <v/>
      </c>
      <c r="N105" s="45" t="str">
        <f aca="false">IF(N(E105)=0,"",J105/E105)</f>
        <v/>
      </c>
      <c r="O105" s="11"/>
    </row>
    <row r="106" customFormat="false" ht="15" hidden="false" customHeight="false" outlineLevel="0" collapsed="false">
      <c r="A106" s="38"/>
      <c r="B106" s="39" t="str">
        <f aca="false">IF(A106="","",CHOOSE(WEEKDAY(A106,2),"Lun","Mar","Mié","Jue","Vie","Sáb","Dom"))</f>
        <v/>
      </c>
      <c r="C106" s="11"/>
      <c r="D106" s="40"/>
      <c r="E106" s="40"/>
      <c r="F106" s="40"/>
      <c r="G106" s="41"/>
      <c r="H106" s="42"/>
      <c r="I106" s="40"/>
      <c r="J106" s="43"/>
      <c r="K106" s="44" t="str">
        <f aca="false">IF(N(D106)=0,"",E106/D106)</f>
        <v/>
      </c>
      <c r="L106" s="44" t="str">
        <f aca="false">IF(N(E106)=0,"",I106/E106)</f>
        <v/>
      </c>
      <c r="M106" s="45" t="str">
        <f aca="false">IF(N(I106)=0,"",J106/I106)</f>
        <v/>
      </c>
      <c r="N106" s="45" t="str">
        <f aca="false">IF(N(E106)=0,"",J106/E106)</f>
        <v/>
      </c>
      <c r="O106" s="11"/>
    </row>
    <row r="107" customFormat="false" ht="15" hidden="false" customHeight="false" outlineLevel="0" collapsed="false">
      <c r="A107" s="38"/>
      <c r="B107" s="39" t="str">
        <f aca="false">IF(A107="","",CHOOSE(WEEKDAY(A107,2),"Lun","Mar","Mié","Jue","Vie","Sáb","Dom"))</f>
        <v/>
      </c>
      <c r="C107" s="11"/>
      <c r="D107" s="40"/>
      <c r="E107" s="40"/>
      <c r="F107" s="40"/>
      <c r="G107" s="41"/>
      <c r="H107" s="42"/>
      <c r="I107" s="40"/>
      <c r="J107" s="43"/>
      <c r="K107" s="44" t="str">
        <f aca="false">IF(N(D107)=0,"",E107/D107)</f>
        <v/>
      </c>
      <c r="L107" s="44" t="str">
        <f aca="false">IF(N(E107)=0,"",I107/E107)</f>
        <v/>
      </c>
      <c r="M107" s="45" t="str">
        <f aca="false">IF(N(I107)=0,"",J107/I107)</f>
        <v/>
      </c>
      <c r="N107" s="45" t="str">
        <f aca="false">IF(N(E107)=0,"",J107/E107)</f>
        <v/>
      </c>
      <c r="O107" s="11"/>
    </row>
    <row r="108" customFormat="false" ht="15" hidden="false" customHeight="false" outlineLevel="0" collapsed="false">
      <c r="A108" s="38"/>
      <c r="B108" s="39" t="str">
        <f aca="false">IF(A108="","",CHOOSE(WEEKDAY(A108,2),"Lun","Mar","Mié","Jue","Vie","Sáb","Dom"))</f>
        <v/>
      </c>
      <c r="C108" s="11"/>
      <c r="D108" s="40"/>
      <c r="E108" s="40"/>
      <c r="F108" s="40"/>
      <c r="G108" s="41"/>
      <c r="H108" s="42"/>
      <c r="I108" s="40"/>
      <c r="J108" s="43"/>
      <c r="K108" s="44" t="str">
        <f aca="false">IF(N(D108)=0,"",E108/D108)</f>
        <v/>
      </c>
      <c r="L108" s="44" t="str">
        <f aca="false">IF(N(E108)=0,"",I108/E108)</f>
        <v/>
      </c>
      <c r="M108" s="45" t="str">
        <f aca="false">IF(N(I108)=0,"",J108/I108)</f>
        <v/>
      </c>
      <c r="N108" s="45" t="str">
        <f aca="false">IF(N(E108)=0,"",J108/E108)</f>
        <v/>
      </c>
      <c r="O108" s="11"/>
    </row>
    <row r="109" customFormat="false" ht="15" hidden="false" customHeight="false" outlineLevel="0" collapsed="false">
      <c r="A109" s="38"/>
      <c r="B109" s="39" t="str">
        <f aca="false">IF(A109="","",CHOOSE(WEEKDAY(A109,2),"Lun","Mar","Mié","Jue","Vie","Sáb","Dom"))</f>
        <v/>
      </c>
      <c r="C109" s="11"/>
      <c r="D109" s="40"/>
      <c r="E109" s="40"/>
      <c r="F109" s="40"/>
      <c r="G109" s="41"/>
      <c r="H109" s="42"/>
      <c r="I109" s="40"/>
      <c r="J109" s="43"/>
      <c r="K109" s="44" t="str">
        <f aca="false">IF(N(D109)=0,"",E109/D109)</f>
        <v/>
      </c>
      <c r="L109" s="44" t="str">
        <f aca="false">IF(N(E109)=0,"",I109/E109)</f>
        <v/>
      </c>
      <c r="M109" s="45" t="str">
        <f aca="false">IF(N(I109)=0,"",J109/I109)</f>
        <v/>
      </c>
      <c r="N109" s="45" t="str">
        <f aca="false">IF(N(E109)=0,"",J109/E109)</f>
        <v/>
      </c>
      <c r="O109" s="11"/>
    </row>
    <row r="110" customFormat="false" ht="15" hidden="false" customHeight="false" outlineLevel="0" collapsed="false">
      <c r="A110" s="38"/>
      <c r="B110" s="39" t="str">
        <f aca="false">IF(A110="","",CHOOSE(WEEKDAY(A110,2),"Lun","Mar","Mié","Jue","Vie","Sáb","Dom"))</f>
        <v/>
      </c>
      <c r="C110" s="11"/>
      <c r="D110" s="40"/>
      <c r="E110" s="40"/>
      <c r="F110" s="40"/>
      <c r="G110" s="41"/>
      <c r="H110" s="42"/>
      <c r="I110" s="40"/>
      <c r="J110" s="43"/>
      <c r="K110" s="44" t="str">
        <f aca="false">IF(N(D110)=0,"",E110/D110)</f>
        <v/>
      </c>
      <c r="L110" s="44" t="str">
        <f aca="false">IF(N(E110)=0,"",I110/E110)</f>
        <v/>
      </c>
      <c r="M110" s="45" t="str">
        <f aca="false">IF(N(I110)=0,"",J110/I110)</f>
        <v/>
      </c>
      <c r="N110" s="45" t="str">
        <f aca="false">IF(N(E110)=0,"",J110/E110)</f>
        <v/>
      </c>
      <c r="O110" s="11"/>
    </row>
    <row r="111" customFormat="false" ht="15" hidden="false" customHeight="false" outlineLevel="0" collapsed="false">
      <c r="A111" s="38"/>
      <c r="B111" s="39" t="str">
        <f aca="false">IF(A111="","",CHOOSE(WEEKDAY(A111,2),"Lun","Mar","Mié","Jue","Vie","Sáb","Dom"))</f>
        <v/>
      </c>
      <c r="C111" s="11"/>
      <c r="D111" s="40"/>
      <c r="E111" s="40"/>
      <c r="F111" s="40"/>
      <c r="G111" s="41"/>
      <c r="H111" s="42"/>
      <c r="I111" s="40"/>
      <c r="J111" s="43"/>
      <c r="K111" s="44" t="str">
        <f aca="false">IF(N(D111)=0,"",E111/D111)</f>
        <v/>
      </c>
      <c r="L111" s="44" t="str">
        <f aca="false">IF(N(E111)=0,"",I111/E111)</f>
        <v/>
      </c>
      <c r="M111" s="45" t="str">
        <f aca="false">IF(N(I111)=0,"",J111/I111)</f>
        <v/>
      </c>
      <c r="N111" s="45" t="str">
        <f aca="false">IF(N(E111)=0,"",J111/E111)</f>
        <v/>
      </c>
      <c r="O111" s="11"/>
    </row>
    <row r="112" customFormat="false" ht="15" hidden="false" customHeight="false" outlineLevel="0" collapsed="false">
      <c r="A112" s="38"/>
      <c r="B112" s="39" t="str">
        <f aca="false">IF(A112="","",CHOOSE(WEEKDAY(A112,2),"Lun","Mar","Mié","Jue","Vie","Sáb","Dom"))</f>
        <v/>
      </c>
      <c r="C112" s="11"/>
      <c r="D112" s="40"/>
      <c r="E112" s="40"/>
      <c r="F112" s="40"/>
      <c r="G112" s="41"/>
      <c r="H112" s="42"/>
      <c r="I112" s="40"/>
      <c r="J112" s="43"/>
      <c r="K112" s="44" t="str">
        <f aca="false">IF(N(D112)=0,"",E112/D112)</f>
        <v/>
      </c>
      <c r="L112" s="44" t="str">
        <f aca="false">IF(N(E112)=0,"",I112/E112)</f>
        <v/>
      </c>
      <c r="M112" s="45" t="str">
        <f aca="false">IF(N(I112)=0,"",J112/I112)</f>
        <v/>
      </c>
      <c r="N112" s="45" t="str">
        <f aca="false">IF(N(E112)=0,"",J112/E112)</f>
        <v/>
      </c>
      <c r="O112" s="11"/>
    </row>
    <row r="113" customFormat="false" ht="15" hidden="false" customHeight="false" outlineLevel="0" collapsed="false">
      <c r="A113" s="38"/>
      <c r="B113" s="39" t="str">
        <f aca="false">IF(A113="","",CHOOSE(WEEKDAY(A113,2),"Lun","Mar","Mié","Jue","Vie","Sáb","Dom"))</f>
        <v/>
      </c>
      <c r="C113" s="11"/>
      <c r="D113" s="40"/>
      <c r="E113" s="40"/>
      <c r="F113" s="40"/>
      <c r="G113" s="41"/>
      <c r="H113" s="42"/>
      <c r="I113" s="40"/>
      <c r="J113" s="43"/>
      <c r="K113" s="44" t="str">
        <f aca="false">IF(N(D113)=0,"",E113/D113)</f>
        <v/>
      </c>
      <c r="L113" s="44" t="str">
        <f aca="false">IF(N(E113)=0,"",I113/E113)</f>
        <v/>
      </c>
      <c r="M113" s="45" t="str">
        <f aca="false">IF(N(I113)=0,"",J113/I113)</f>
        <v/>
      </c>
      <c r="N113" s="45" t="str">
        <f aca="false">IF(N(E113)=0,"",J113/E113)</f>
        <v/>
      </c>
      <c r="O113" s="11"/>
    </row>
    <row r="114" customFormat="false" ht="15" hidden="false" customHeight="false" outlineLevel="0" collapsed="false">
      <c r="A114" s="38"/>
      <c r="B114" s="39" t="str">
        <f aca="false">IF(A114="","",CHOOSE(WEEKDAY(A114,2),"Lun","Mar","Mié","Jue","Vie","Sáb","Dom"))</f>
        <v/>
      </c>
      <c r="C114" s="11"/>
      <c r="D114" s="40"/>
      <c r="E114" s="40"/>
      <c r="F114" s="40"/>
      <c r="G114" s="41"/>
      <c r="H114" s="42"/>
      <c r="I114" s="40"/>
      <c r="J114" s="43"/>
      <c r="K114" s="44" t="str">
        <f aca="false">IF(N(D114)=0,"",E114/D114)</f>
        <v/>
      </c>
      <c r="L114" s="44" t="str">
        <f aca="false">IF(N(E114)=0,"",I114/E114)</f>
        <v/>
      </c>
      <c r="M114" s="45" t="str">
        <f aca="false">IF(N(I114)=0,"",J114/I114)</f>
        <v/>
      </c>
      <c r="N114" s="45" t="str">
        <f aca="false">IF(N(E114)=0,"",J114/E114)</f>
        <v/>
      </c>
      <c r="O114" s="11"/>
    </row>
    <row r="115" customFormat="false" ht="15" hidden="false" customHeight="false" outlineLevel="0" collapsed="false">
      <c r="A115" s="38"/>
      <c r="B115" s="39" t="str">
        <f aca="false">IF(A115="","",CHOOSE(WEEKDAY(A115,2),"Lun","Mar","Mié","Jue","Vie","Sáb","Dom"))</f>
        <v/>
      </c>
      <c r="C115" s="11"/>
      <c r="D115" s="40"/>
      <c r="E115" s="40"/>
      <c r="F115" s="40"/>
      <c r="G115" s="41"/>
      <c r="H115" s="42"/>
      <c r="I115" s="40"/>
      <c r="J115" s="43"/>
      <c r="K115" s="44" t="str">
        <f aca="false">IF(N(D115)=0,"",E115/D115)</f>
        <v/>
      </c>
      <c r="L115" s="44" t="str">
        <f aca="false">IF(N(E115)=0,"",I115/E115)</f>
        <v/>
      </c>
      <c r="M115" s="45" t="str">
        <f aca="false">IF(N(I115)=0,"",J115/I115)</f>
        <v/>
      </c>
      <c r="N115" s="45" t="str">
        <f aca="false">IF(N(E115)=0,"",J115/E115)</f>
        <v/>
      </c>
      <c r="O115" s="11"/>
    </row>
    <row r="116" customFormat="false" ht="15" hidden="false" customHeight="false" outlineLevel="0" collapsed="false">
      <c r="A116" s="38"/>
      <c r="B116" s="39" t="str">
        <f aca="false">IF(A116="","",CHOOSE(WEEKDAY(A116,2),"Lun","Mar","Mié","Jue","Vie","Sáb","Dom"))</f>
        <v/>
      </c>
      <c r="C116" s="11"/>
      <c r="D116" s="40"/>
      <c r="E116" s="40"/>
      <c r="F116" s="40"/>
      <c r="G116" s="41"/>
      <c r="H116" s="42"/>
      <c r="I116" s="40"/>
      <c r="J116" s="43"/>
      <c r="K116" s="44" t="str">
        <f aca="false">IF(N(D116)=0,"",E116/D116)</f>
        <v/>
      </c>
      <c r="L116" s="44" t="str">
        <f aca="false">IF(N(E116)=0,"",I116/E116)</f>
        <v/>
      </c>
      <c r="M116" s="45" t="str">
        <f aca="false">IF(N(I116)=0,"",J116/I116)</f>
        <v/>
      </c>
      <c r="N116" s="45" t="str">
        <f aca="false">IF(N(E116)=0,"",J116/E116)</f>
        <v/>
      </c>
      <c r="O116" s="11"/>
    </row>
    <row r="117" customFormat="false" ht="15" hidden="false" customHeight="false" outlineLevel="0" collapsed="false">
      <c r="A117" s="38"/>
      <c r="B117" s="39" t="str">
        <f aca="false">IF(A117="","",CHOOSE(WEEKDAY(A117,2),"Lun","Mar","Mié","Jue","Vie","Sáb","Dom"))</f>
        <v/>
      </c>
      <c r="C117" s="11"/>
      <c r="D117" s="40"/>
      <c r="E117" s="40"/>
      <c r="F117" s="40"/>
      <c r="G117" s="41"/>
      <c r="H117" s="42"/>
      <c r="I117" s="40"/>
      <c r="J117" s="43"/>
      <c r="K117" s="44" t="str">
        <f aca="false">IF(N(D117)=0,"",E117/D117)</f>
        <v/>
      </c>
      <c r="L117" s="44" t="str">
        <f aca="false">IF(N(E117)=0,"",I117/E117)</f>
        <v/>
      </c>
      <c r="M117" s="45" t="str">
        <f aca="false">IF(N(I117)=0,"",J117/I117)</f>
        <v/>
      </c>
      <c r="N117" s="45" t="str">
        <f aca="false">IF(N(E117)=0,"",J117/E117)</f>
        <v/>
      </c>
      <c r="O117" s="11"/>
    </row>
    <row r="118" customFormat="false" ht="15" hidden="false" customHeight="false" outlineLevel="0" collapsed="false">
      <c r="A118" s="38"/>
      <c r="B118" s="39" t="str">
        <f aca="false">IF(A118="","",CHOOSE(WEEKDAY(A118,2),"Lun","Mar","Mié","Jue","Vie","Sáb","Dom"))</f>
        <v/>
      </c>
      <c r="C118" s="11"/>
      <c r="D118" s="40"/>
      <c r="E118" s="40"/>
      <c r="F118" s="40"/>
      <c r="G118" s="41"/>
      <c r="H118" s="42"/>
      <c r="I118" s="40"/>
      <c r="J118" s="43"/>
      <c r="K118" s="44" t="str">
        <f aca="false">IF(N(D118)=0,"",E118/D118)</f>
        <v/>
      </c>
      <c r="L118" s="44" t="str">
        <f aca="false">IF(N(E118)=0,"",I118/E118)</f>
        <v/>
      </c>
      <c r="M118" s="45" t="str">
        <f aca="false">IF(N(I118)=0,"",J118/I118)</f>
        <v/>
      </c>
      <c r="N118" s="45" t="str">
        <f aca="false">IF(N(E118)=0,"",J118/E118)</f>
        <v/>
      </c>
      <c r="O118" s="11"/>
    </row>
    <row r="119" customFormat="false" ht="15" hidden="false" customHeight="false" outlineLevel="0" collapsed="false">
      <c r="A119" s="38"/>
      <c r="B119" s="39" t="str">
        <f aca="false">IF(A119="","",CHOOSE(WEEKDAY(A119,2),"Lun","Mar","Mié","Jue","Vie","Sáb","Dom"))</f>
        <v/>
      </c>
      <c r="C119" s="11"/>
      <c r="D119" s="40"/>
      <c r="E119" s="40"/>
      <c r="F119" s="40"/>
      <c r="G119" s="41"/>
      <c r="H119" s="42"/>
      <c r="I119" s="40"/>
      <c r="J119" s="43"/>
      <c r="K119" s="44" t="str">
        <f aca="false">IF(N(D119)=0,"",E119/D119)</f>
        <v/>
      </c>
      <c r="L119" s="44" t="str">
        <f aca="false">IF(N(E119)=0,"",I119/E119)</f>
        <v/>
      </c>
      <c r="M119" s="45" t="str">
        <f aca="false">IF(N(I119)=0,"",J119/I119)</f>
        <v/>
      </c>
      <c r="N119" s="45" t="str">
        <f aca="false">IF(N(E119)=0,"",J119/E119)</f>
        <v/>
      </c>
      <c r="O119" s="11"/>
    </row>
    <row r="120" customFormat="false" ht="15" hidden="false" customHeight="false" outlineLevel="0" collapsed="false">
      <c r="A120" s="38"/>
      <c r="B120" s="39" t="str">
        <f aca="false">IF(A120="","",CHOOSE(WEEKDAY(A120,2),"Lun","Mar","Mié","Jue","Vie","Sáb","Dom"))</f>
        <v/>
      </c>
      <c r="C120" s="11"/>
      <c r="D120" s="40"/>
      <c r="E120" s="40"/>
      <c r="F120" s="40"/>
      <c r="G120" s="41"/>
      <c r="H120" s="42"/>
      <c r="I120" s="40"/>
      <c r="J120" s="43"/>
      <c r="K120" s="44" t="str">
        <f aca="false">IF(N(D120)=0,"",E120/D120)</f>
        <v/>
      </c>
      <c r="L120" s="44" t="str">
        <f aca="false">IF(N(E120)=0,"",I120/E120)</f>
        <v/>
      </c>
      <c r="M120" s="45" t="str">
        <f aca="false">IF(N(I120)=0,"",J120/I120)</f>
        <v/>
      </c>
      <c r="N120" s="45" t="str">
        <f aca="false">IF(N(E120)=0,"",J120/E120)</f>
        <v/>
      </c>
      <c r="O120" s="11"/>
    </row>
    <row r="121" customFormat="false" ht="15" hidden="false" customHeight="false" outlineLevel="0" collapsed="false">
      <c r="A121" s="38"/>
      <c r="B121" s="39" t="str">
        <f aca="false">IF(A121="","",CHOOSE(WEEKDAY(A121,2),"Lun","Mar","Mié","Jue","Vie","Sáb","Dom"))</f>
        <v/>
      </c>
      <c r="C121" s="11"/>
      <c r="D121" s="40"/>
      <c r="E121" s="40"/>
      <c r="F121" s="40"/>
      <c r="G121" s="41"/>
      <c r="H121" s="42"/>
      <c r="I121" s="40"/>
      <c r="J121" s="43"/>
      <c r="K121" s="44" t="str">
        <f aca="false">IF(N(D121)=0,"",E121/D121)</f>
        <v/>
      </c>
      <c r="L121" s="44" t="str">
        <f aca="false">IF(N(E121)=0,"",I121/E121)</f>
        <v/>
      </c>
      <c r="M121" s="45" t="str">
        <f aca="false">IF(N(I121)=0,"",J121/I121)</f>
        <v/>
      </c>
      <c r="N121" s="45" t="str">
        <f aca="false">IF(N(E121)=0,"",J121/E121)</f>
        <v/>
      </c>
      <c r="O121" s="11"/>
    </row>
    <row r="122" customFormat="false" ht="15" hidden="false" customHeight="false" outlineLevel="0" collapsed="false">
      <c r="A122" s="38"/>
      <c r="B122" s="39" t="str">
        <f aca="false">IF(A122="","",CHOOSE(WEEKDAY(A122,2),"Lun","Mar","Mié","Jue","Vie","Sáb","Dom"))</f>
        <v/>
      </c>
      <c r="C122" s="11"/>
      <c r="D122" s="40"/>
      <c r="E122" s="40"/>
      <c r="F122" s="40"/>
      <c r="G122" s="41"/>
      <c r="H122" s="42"/>
      <c r="I122" s="40"/>
      <c r="J122" s="43"/>
      <c r="K122" s="44" t="str">
        <f aca="false">IF(N(D122)=0,"",E122/D122)</f>
        <v/>
      </c>
      <c r="L122" s="44" t="str">
        <f aca="false">IF(N(E122)=0,"",I122/E122)</f>
        <v/>
      </c>
      <c r="M122" s="45" t="str">
        <f aca="false">IF(N(I122)=0,"",J122/I122)</f>
        <v/>
      </c>
      <c r="N122" s="45" t="str">
        <f aca="false">IF(N(E122)=0,"",J122/E122)</f>
        <v/>
      </c>
      <c r="O122" s="11"/>
    </row>
    <row r="123" customFormat="false" ht="15" hidden="false" customHeight="false" outlineLevel="0" collapsed="false">
      <c r="A123" s="38"/>
      <c r="B123" s="39" t="str">
        <f aca="false">IF(A123="","",CHOOSE(WEEKDAY(A123,2),"Lun","Mar","Mié","Jue","Vie","Sáb","Dom"))</f>
        <v/>
      </c>
      <c r="C123" s="11"/>
      <c r="D123" s="40"/>
      <c r="E123" s="40"/>
      <c r="F123" s="40"/>
      <c r="G123" s="41"/>
      <c r="H123" s="42"/>
      <c r="I123" s="40"/>
      <c r="J123" s="43"/>
      <c r="K123" s="44" t="str">
        <f aca="false">IF(N(D123)=0,"",E123/D123)</f>
        <v/>
      </c>
      <c r="L123" s="44" t="str">
        <f aca="false">IF(N(E123)=0,"",I123/E123)</f>
        <v/>
      </c>
      <c r="M123" s="45" t="str">
        <f aca="false">IF(N(I123)=0,"",J123/I123)</f>
        <v/>
      </c>
      <c r="N123" s="45" t="str">
        <f aca="false">IF(N(E123)=0,"",J123/E123)</f>
        <v/>
      </c>
      <c r="O123" s="11"/>
    </row>
    <row r="124" customFormat="false" ht="15" hidden="false" customHeight="false" outlineLevel="0" collapsed="false">
      <c r="A124" s="38"/>
      <c r="B124" s="39" t="str">
        <f aca="false">IF(A124="","",CHOOSE(WEEKDAY(A124,2),"Lun","Mar","Mié","Jue","Vie","Sáb","Dom"))</f>
        <v/>
      </c>
      <c r="C124" s="11"/>
      <c r="D124" s="40"/>
      <c r="E124" s="40"/>
      <c r="F124" s="40"/>
      <c r="G124" s="41"/>
      <c r="H124" s="42"/>
      <c r="I124" s="40"/>
      <c r="J124" s="43"/>
      <c r="K124" s="44" t="str">
        <f aca="false">IF(N(D124)=0,"",E124/D124)</f>
        <v/>
      </c>
      <c r="L124" s="44" t="str">
        <f aca="false">IF(N(E124)=0,"",I124/E124)</f>
        <v/>
      </c>
      <c r="M124" s="45" t="str">
        <f aca="false">IF(N(I124)=0,"",J124/I124)</f>
        <v/>
      </c>
      <c r="N124" s="45" t="str">
        <f aca="false">IF(N(E124)=0,"",J124/E124)</f>
        <v/>
      </c>
      <c r="O124" s="11"/>
    </row>
    <row r="125" customFormat="false" ht="15" hidden="false" customHeight="false" outlineLevel="0" collapsed="false">
      <c r="A125" s="38"/>
      <c r="B125" s="39" t="str">
        <f aca="false">IF(A125="","",CHOOSE(WEEKDAY(A125,2),"Lun","Mar","Mié","Jue","Vie","Sáb","Dom"))</f>
        <v/>
      </c>
      <c r="C125" s="11"/>
      <c r="D125" s="40"/>
      <c r="E125" s="40"/>
      <c r="F125" s="40"/>
      <c r="G125" s="41"/>
      <c r="H125" s="42"/>
      <c r="I125" s="40"/>
      <c r="J125" s="43"/>
      <c r="K125" s="44" t="str">
        <f aca="false">IF(N(D125)=0,"",E125/D125)</f>
        <v/>
      </c>
      <c r="L125" s="44" t="str">
        <f aca="false">IF(N(E125)=0,"",I125/E125)</f>
        <v/>
      </c>
      <c r="M125" s="45" t="str">
        <f aca="false">IF(N(I125)=0,"",J125/I125)</f>
        <v/>
      </c>
      <c r="N125" s="45" t="str">
        <f aca="false">IF(N(E125)=0,"",J125/E125)</f>
        <v/>
      </c>
      <c r="O125" s="11"/>
    </row>
    <row r="126" customFormat="false" ht="15" hidden="false" customHeight="false" outlineLevel="0" collapsed="false">
      <c r="A126" s="38"/>
      <c r="B126" s="39" t="str">
        <f aca="false">IF(A126="","",CHOOSE(WEEKDAY(A126,2),"Lun","Mar","Mié","Jue","Vie","Sáb","Dom"))</f>
        <v/>
      </c>
      <c r="C126" s="11"/>
      <c r="D126" s="40"/>
      <c r="E126" s="40"/>
      <c r="F126" s="40"/>
      <c r="G126" s="41"/>
      <c r="H126" s="42"/>
      <c r="I126" s="40"/>
      <c r="J126" s="43"/>
      <c r="K126" s="44" t="str">
        <f aca="false">IF(N(D126)=0,"",E126/D126)</f>
        <v/>
      </c>
      <c r="L126" s="44" t="str">
        <f aca="false">IF(N(E126)=0,"",I126/E126)</f>
        <v/>
      </c>
      <c r="M126" s="45" t="str">
        <f aca="false">IF(N(I126)=0,"",J126/I126)</f>
        <v/>
      </c>
      <c r="N126" s="45" t="str">
        <f aca="false">IF(N(E126)=0,"",J126/E126)</f>
        <v/>
      </c>
      <c r="O126" s="11"/>
    </row>
    <row r="127" customFormat="false" ht="15" hidden="false" customHeight="false" outlineLevel="0" collapsed="false">
      <c r="A127" s="38"/>
      <c r="B127" s="39" t="str">
        <f aca="false">IF(A127="","",CHOOSE(WEEKDAY(A127,2),"Lun","Mar","Mié","Jue","Vie","Sáb","Dom"))</f>
        <v/>
      </c>
      <c r="C127" s="11"/>
      <c r="D127" s="40"/>
      <c r="E127" s="40"/>
      <c r="F127" s="40"/>
      <c r="G127" s="41"/>
      <c r="H127" s="42"/>
      <c r="I127" s="40"/>
      <c r="J127" s="43"/>
      <c r="K127" s="44" t="str">
        <f aca="false">IF(N(D127)=0,"",E127/D127)</f>
        <v/>
      </c>
      <c r="L127" s="44" t="str">
        <f aca="false">IF(N(E127)=0,"",I127/E127)</f>
        <v/>
      </c>
      <c r="M127" s="45" t="str">
        <f aca="false">IF(N(I127)=0,"",J127/I127)</f>
        <v/>
      </c>
      <c r="N127" s="45" t="str">
        <f aca="false">IF(N(E127)=0,"",J127/E127)</f>
        <v/>
      </c>
      <c r="O127" s="11"/>
    </row>
    <row r="128" customFormat="false" ht="15" hidden="false" customHeight="false" outlineLevel="0" collapsed="false">
      <c r="A128" s="38"/>
      <c r="B128" s="39" t="str">
        <f aca="false">IF(A128="","",CHOOSE(WEEKDAY(A128,2),"Lun","Mar","Mié","Jue","Vie","Sáb","Dom"))</f>
        <v/>
      </c>
      <c r="C128" s="11"/>
      <c r="D128" s="40"/>
      <c r="E128" s="40"/>
      <c r="F128" s="40"/>
      <c r="G128" s="41"/>
      <c r="H128" s="42"/>
      <c r="I128" s="40"/>
      <c r="J128" s="43"/>
      <c r="K128" s="44" t="str">
        <f aca="false">IF(N(D128)=0,"",E128/D128)</f>
        <v/>
      </c>
      <c r="L128" s="44" t="str">
        <f aca="false">IF(N(E128)=0,"",I128/E128)</f>
        <v/>
      </c>
      <c r="M128" s="45" t="str">
        <f aca="false">IF(N(I128)=0,"",J128/I128)</f>
        <v/>
      </c>
      <c r="N128" s="45" t="str">
        <f aca="false">IF(N(E128)=0,"",J128/E128)</f>
        <v/>
      </c>
      <c r="O128" s="11"/>
    </row>
    <row r="129" customFormat="false" ht="15" hidden="false" customHeight="false" outlineLevel="0" collapsed="false">
      <c r="A129" s="38"/>
      <c r="B129" s="39" t="str">
        <f aca="false">IF(A129="","",CHOOSE(WEEKDAY(A129,2),"Lun","Mar","Mié","Jue","Vie","Sáb","Dom"))</f>
        <v/>
      </c>
      <c r="C129" s="11"/>
      <c r="D129" s="40"/>
      <c r="E129" s="40"/>
      <c r="F129" s="40"/>
      <c r="G129" s="41"/>
      <c r="H129" s="42"/>
      <c r="I129" s="40"/>
      <c r="J129" s="43"/>
      <c r="K129" s="44" t="str">
        <f aca="false">IF(N(D129)=0,"",E129/D129)</f>
        <v/>
      </c>
      <c r="L129" s="44" t="str">
        <f aca="false">IF(N(E129)=0,"",I129/E129)</f>
        <v/>
      </c>
      <c r="M129" s="45" t="str">
        <f aca="false">IF(N(I129)=0,"",J129/I129)</f>
        <v/>
      </c>
      <c r="N129" s="45" t="str">
        <f aca="false">IF(N(E129)=0,"",J129/E129)</f>
        <v/>
      </c>
      <c r="O129" s="11"/>
    </row>
    <row r="130" customFormat="false" ht="15" hidden="false" customHeight="false" outlineLevel="0" collapsed="false">
      <c r="A130" s="38"/>
      <c r="B130" s="39" t="str">
        <f aca="false">IF(A130="","",CHOOSE(WEEKDAY(A130,2),"Lun","Mar","Mié","Jue","Vie","Sáb","Dom"))</f>
        <v/>
      </c>
      <c r="C130" s="11"/>
      <c r="D130" s="40"/>
      <c r="E130" s="40"/>
      <c r="F130" s="40"/>
      <c r="G130" s="41"/>
      <c r="H130" s="42"/>
      <c r="I130" s="40"/>
      <c r="J130" s="43"/>
      <c r="K130" s="44" t="str">
        <f aca="false">IF(N(D130)=0,"",E130/D130)</f>
        <v/>
      </c>
      <c r="L130" s="44" t="str">
        <f aca="false">IF(N(E130)=0,"",I130/E130)</f>
        <v/>
      </c>
      <c r="M130" s="45" t="str">
        <f aca="false">IF(N(I130)=0,"",J130/I130)</f>
        <v/>
      </c>
      <c r="N130" s="45" t="str">
        <f aca="false">IF(N(E130)=0,"",J130/E130)</f>
        <v/>
      </c>
      <c r="O130" s="11"/>
    </row>
    <row r="131" customFormat="false" ht="15" hidden="false" customHeight="false" outlineLevel="0" collapsed="false">
      <c r="A131" s="38"/>
      <c r="B131" s="39" t="str">
        <f aca="false">IF(A131="","",CHOOSE(WEEKDAY(A131,2),"Lun","Mar","Mié","Jue","Vie","Sáb","Dom"))</f>
        <v/>
      </c>
      <c r="C131" s="11"/>
      <c r="D131" s="40"/>
      <c r="E131" s="40"/>
      <c r="F131" s="40"/>
      <c r="G131" s="41"/>
      <c r="H131" s="42"/>
      <c r="I131" s="40"/>
      <c r="J131" s="43"/>
      <c r="K131" s="44" t="str">
        <f aca="false">IF(N(D131)=0,"",E131/D131)</f>
        <v/>
      </c>
      <c r="L131" s="44" t="str">
        <f aca="false">IF(N(E131)=0,"",I131/E131)</f>
        <v/>
      </c>
      <c r="M131" s="45" t="str">
        <f aca="false">IF(N(I131)=0,"",J131/I131)</f>
        <v/>
      </c>
      <c r="N131" s="45" t="str">
        <f aca="false">IF(N(E131)=0,"",J131/E131)</f>
        <v/>
      </c>
      <c r="O131" s="11"/>
    </row>
    <row r="132" customFormat="false" ht="15" hidden="false" customHeight="false" outlineLevel="0" collapsed="false">
      <c r="A132" s="38"/>
      <c r="B132" s="39" t="str">
        <f aca="false">IF(A132="","",CHOOSE(WEEKDAY(A132,2),"Lun","Mar","Mié","Jue","Vie","Sáb","Dom"))</f>
        <v/>
      </c>
      <c r="C132" s="11"/>
      <c r="D132" s="40"/>
      <c r="E132" s="40"/>
      <c r="F132" s="40"/>
      <c r="G132" s="41"/>
      <c r="H132" s="42"/>
      <c r="I132" s="40"/>
      <c r="J132" s="43"/>
      <c r="K132" s="44" t="str">
        <f aca="false">IF(N(D132)=0,"",E132/D132)</f>
        <v/>
      </c>
      <c r="L132" s="44" t="str">
        <f aca="false">IF(N(E132)=0,"",I132/E132)</f>
        <v/>
      </c>
      <c r="M132" s="45" t="str">
        <f aca="false">IF(N(I132)=0,"",J132/I132)</f>
        <v/>
      </c>
      <c r="N132" s="45" t="str">
        <f aca="false">IF(N(E132)=0,"",J132/E132)</f>
        <v/>
      </c>
      <c r="O132" s="11"/>
    </row>
    <row r="133" customFormat="false" ht="15" hidden="false" customHeight="false" outlineLevel="0" collapsed="false">
      <c r="A133" s="38"/>
      <c r="B133" s="39" t="str">
        <f aca="false">IF(A133="","",CHOOSE(WEEKDAY(A133,2),"Lun","Mar","Mié","Jue","Vie","Sáb","Dom"))</f>
        <v/>
      </c>
      <c r="C133" s="11"/>
      <c r="D133" s="40"/>
      <c r="E133" s="40"/>
      <c r="F133" s="40"/>
      <c r="G133" s="41"/>
      <c r="H133" s="42"/>
      <c r="I133" s="40"/>
      <c r="J133" s="43"/>
      <c r="K133" s="44" t="str">
        <f aca="false">IF(N(D133)=0,"",E133/D133)</f>
        <v/>
      </c>
      <c r="L133" s="44" t="str">
        <f aca="false">IF(N(E133)=0,"",I133/E133)</f>
        <v/>
      </c>
      <c r="M133" s="45" t="str">
        <f aca="false">IF(N(I133)=0,"",J133/I133)</f>
        <v/>
      </c>
      <c r="N133" s="45" t="str">
        <f aca="false">IF(N(E133)=0,"",J133/E133)</f>
        <v/>
      </c>
      <c r="O133" s="11"/>
    </row>
    <row r="134" customFormat="false" ht="15" hidden="false" customHeight="false" outlineLevel="0" collapsed="false">
      <c r="A134" s="38"/>
      <c r="B134" s="39" t="str">
        <f aca="false">IF(A134="","",CHOOSE(WEEKDAY(A134,2),"Lun","Mar","Mié","Jue","Vie","Sáb","Dom"))</f>
        <v/>
      </c>
      <c r="C134" s="11"/>
      <c r="D134" s="40"/>
      <c r="E134" s="40"/>
      <c r="F134" s="40"/>
      <c r="G134" s="41"/>
      <c r="H134" s="42"/>
      <c r="I134" s="40"/>
      <c r="J134" s="43"/>
      <c r="K134" s="44" t="str">
        <f aca="false">IF(N(D134)=0,"",E134/D134)</f>
        <v/>
      </c>
      <c r="L134" s="44" t="str">
        <f aca="false">IF(N(E134)=0,"",I134/E134)</f>
        <v/>
      </c>
      <c r="M134" s="45" t="str">
        <f aca="false">IF(N(I134)=0,"",J134/I134)</f>
        <v/>
      </c>
      <c r="N134" s="45" t="str">
        <f aca="false">IF(N(E134)=0,"",J134/E134)</f>
        <v/>
      </c>
      <c r="O134" s="11"/>
    </row>
    <row r="135" customFormat="false" ht="15" hidden="false" customHeight="false" outlineLevel="0" collapsed="false">
      <c r="A135" s="38"/>
      <c r="B135" s="39" t="str">
        <f aca="false">IF(A135="","",CHOOSE(WEEKDAY(A135,2),"Lun","Mar","Mié","Jue","Vie","Sáb","Dom"))</f>
        <v/>
      </c>
      <c r="C135" s="11"/>
      <c r="D135" s="40"/>
      <c r="E135" s="40"/>
      <c r="F135" s="40"/>
      <c r="G135" s="41"/>
      <c r="H135" s="42"/>
      <c r="I135" s="40"/>
      <c r="J135" s="43"/>
      <c r="K135" s="44" t="str">
        <f aca="false">IF(N(D135)=0,"",E135/D135)</f>
        <v/>
      </c>
      <c r="L135" s="44" t="str">
        <f aca="false">IF(N(E135)=0,"",I135/E135)</f>
        <v/>
      </c>
      <c r="M135" s="45" t="str">
        <f aca="false">IF(N(I135)=0,"",J135/I135)</f>
        <v/>
      </c>
      <c r="N135" s="45" t="str">
        <f aca="false">IF(N(E135)=0,"",J135/E135)</f>
        <v/>
      </c>
      <c r="O135" s="11"/>
    </row>
    <row r="136" customFormat="false" ht="15" hidden="false" customHeight="false" outlineLevel="0" collapsed="false">
      <c r="A136" s="38"/>
      <c r="B136" s="39" t="str">
        <f aca="false">IF(A136="","",CHOOSE(WEEKDAY(A136,2),"Lun","Mar","Mié","Jue","Vie","Sáb","Dom"))</f>
        <v/>
      </c>
      <c r="C136" s="11"/>
      <c r="D136" s="40"/>
      <c r="E136" s="40"/>
      <c r="F136" s="40"/>
      <c r="G136" s="41"/>
      <c r="H136" s="42"/>
      <c r="I136" s="40"/>
      <c r="J136" s="43"/>
      <c r="K136" s="44" t="str">
        <f aca="false">IF(N(D136)=0,"",E136/D136)</f>
        <v/>
      </c>
      <c r="L136" s="44" t="str">
        <f aca="false">IF(N(E136)=0,"",I136/E136)</f>
        <v/>
      </c>
      <c r="M136" s="45" t="str">
        <f aca="false">IF(N(I136)=0,"",J136/I136)</f>
        <v/>
      </c>
      <c r="N136" s="45" t="str">
        <f aca="false">IF(N(E136)=0,"",J136/E136)</f>
        <v/>
      </c>
      <c r="O136" s="11"/>
    </row>
    <row r="137" customFormat="false" ht="15" hidden="false" customHeight="false" outlineLevel="0" collapsed="false">
      <c r="A137" s="38"/>
      <c r="B137" s="39" t="str">
        <f aca="false">IF(A137="","",CHOOSE(WEEKDAY(A137,2),"Lun","Mar","Mié","Jue","Vie","Sáb","Dom"))</f>
        <v/>
      </c>
      <c r="C137" s="11"/>
      <c r="D137" s="40"/>
      <c r="E137" s="40"/>
      <c r="F137" s="40"/>
      <c r="G137" s="41"/>
      <c r="H137" s="42"/>
      <c r="I137" s="40"/>
      <c r="J137" s="43"/>
      <c r="K137" s="44" t="str">
        <f aca="false">IF(N(D137)=0,"",E137/D137)</f>
        <v/>
      </c>
      <c r="L137" s="44" t="str">
        <f aca="false">IF(N(E137)=0,"",I137/E137)</f>
        <v/>
      </c>
      <c r="M137" s="45" t="str">
        <f aca="false">IF(N(I137)=0,"",J137/I137)</f>
        <v/>
      </c>
      <c r="N137" s="45" t="str">
        <f aca="false">IF(N(E137)=0,"",J137/E137)</f>
        <v/>
      </c>
      <c r="O137" s="11"/>
    </row>
    <row r="138" customFormat="false" ht="15" hidden="false" customHeight="false" outlineLevel="0" collapsed="false">
      <c r="A138" s="38"/>
      <c r="B138" s="39" t="str">
        <f aca="false">IF(A138="","",CHOOSE(WEEKDAY(A138,2),"Lun","Mar","Mié","Jue","Vie","Sáb","Dom"))</f>
        <v/>
      </c>
      <c r="C138" s="11"/>
      <c r="D138" s="40"/>
      <c r="E138" s="40"/>
      <c r="F138" s="40"/>
      <c r="G138" s="41"/>
      <c r="H138" s="42"/>
      <c r="I138" s="40"/>
      <c r="J138" s="43"/>
      <c r="K138" s="44" t="str">
        <f aca="false">IF(N(D138)=0,"",E138/D138)</f>
        <v/>
      </c>
      <c r="L138" s="44" t="str">
        <f aca="false">IF(N(E138)=0,"",I138/E138)</f>
        <v/>
      </c>
      <c r="M138" s="45" t="str">
        <f aca="false">IF(N(I138)=0,"",J138/I138)</f>
        <v/>
      </c>
      <c r="N138" s="45" t="str">
        <f aca="false">IF(N(E138)=0,"",J138/E138)</f>
        <v/>
      </c>
      <c r="O138" s="11"/>
    </row>
    <row r="139" customFormat="false" ht="15" hidden="false" customHeight="false" outlineLevel="0" collapsed="false">
      <c r="A139" s="38"/>
      <c r="B139" s="39" t="str">
        <f aca="false">IF(A139="","",CHOOSE(WEEKDAY(A139,2),"Lun","Mar","Mié","Jue","Vie","Sáb","Dom"))</f>
        <v/>
      </c>
      <c r="C139" s="11"/>
      <c r="D139" s="40"/>
      <c r="E139" s="40"/>
      <c r="F139" s="40"/>
      <c r="G139" s="41"/>
      <c r="H139" s="42"/>
      <c r="I139" s="40"/>
      <c r="J139" s="43"/>
      <c r="K139" s="44" t="str">
        <f aca="false">IF(N(D139)=0,"",E139/D139)</f>
        <v/>
      </c>
      <c r="L139" s="44" t="str">
        <f aca="false">IF(N(E139)=0,"",I139/E139)</f>
        <v/>
      </c>
      <c r="M139" s="45" t="str">
        <f aca="false">IF(N(I139)=0,"",J139/I139)</f>
        <v/>
      </c>
      <c r="N139" s="45" t="str">
        <f aca="false">IF(N(E139)=0,"",J139/E139)</f>
        <v/>
      </c>
      <c r="O139" s="11"/>
    </row>
    <row r="140" customFormat="false" ht="15" hidden="false" customHeight="false" outlineLevel="0" collapsed="false">
      <c r="A140" s="38"/>
      <c r="B140" s="39" t="str">
        <f aca="false">IF(A140="","",CHOOSE(WEEKDAY(A140,2),"Lun","Mar","Mié","Jue","Vie","Sáb","Dom"))</f>
        <v/>
      </c>
      <c r="C140" s="11"/>
      <c r="D140" s="40"/>
      <c r="E140" s="40"/>
      <c r="F140" s="40"/>
      <c r="G140" s="41"/>
      <c r="H140" s="42"/>
      <c r="I140" s="40"/>
      <c r="J140" s="43"/>
      <c r="K140" s="44" t="str">
        <f aca="false">IF(N(D140)=0,"",E140/D140)</f>
        <v/>
      </c>
      <c r="L140" s="44" t="str">
        <f aca="false">IF(N(E140)=0,"",I140/E140)</f>
        <v/>
      </c>
      <c r="M140" s="45" t="str">
        <f aca="false">IF(N(I140)=0,"",J140/I140)</f>
        <v/>
      </c>
      <c r="N140" s="45" t="str">
        <f aca="false">IF(N(E140)=0,"",J140/E140)</f>
        <v/>
      </c>
      <c r="O140" s="11"/>
    </row>
    <row r="141" customFormat="false" ht="15" hidden="false" customHeight="false" outlineLevel="0" collapsed="false">
      <c r="A141" s="38"/>
      <c r="B141" s="39" t="str">
        <f aca="false">IF(A141="","",CHOOSE(WEEKDAY(A141,2),"Lun","Mar","Mié","Jue","Vie","Sáb","Dom"))</f>
        <v/>
      </c>
      <c r="C141" s="11"/>
      <c r="D141" s="40"/>
      <c r="E141" s="40"/>
      <c r="F141" s="40"/>
      <c r="G141" s="41"/>
      <c r="H141" s="42"/>
      <c r="I141" s="40"/>
      <c r="J141" s="43"/>
      <c r="K141" s="44" t="str">
        <f aca="false">IF(N(D141)=0,"",E141/D141)</f>
        <v/>
      </c>
      <c r="L141" s="44" t="str">
        <f aca="false">IF(N(E141)=0,"",I141/E141)</f>
        <v/>
      </c>
      <c r="M141" s="45" t="str">
        <f aca="false">IF(N(I141)=0,"",J141/I141)</f>
        <v/>
      </c>
      <c r="N141" s="45" t="str">
        <f aca="false">IF(N(E141)=0,"",J141/E141)</f>
        <v/>
      </c>
      <c r="O141" s="11"/>
    </row>
    <row r="142" customFormat="false" ht="15" hidden="false" customHeight="false" outlineLevel="0" collapsed="false">
      <c r="A142" s="38"/>
      <c r="B142" s="39" t="str">
        <f aca="false">IF(A142="","",CHOOSE(WEEKDAY(A142,2),"Lun","Mar","Mié","Jue","Vie","Sáb","Dom"))</f>
        <v/>
      </c>
      <c r="C142" s="11"/>
      <c r="D142" s="40"/>
      <c r="E142" s="40"/>
      <c r="F142" s="40"/>
      <c r="G142" s="41"/>
      <c r="H142" s="42"/>
      <c r="I142" s="40"/>
      <c r="J142" s="43"/>
      <c r="K142" s="44" t="str">
        <f aca="false">IF(N(D142)=0,"",E142/D142)</f>
        <v/>
      </c>
      <c r="L142" s="44" t="str">
        <f aca="false">IF(N(E142)=0,"",I142/E142)</f>
        <v/>
      </c>
      <c r="M142" s="45" t="str">
        <f aca="false">IF(N(I142)=0,"",J142/I142)</f>
        <v/>
      </c>
      <c r="N142" s="45" t="str">
        <f aca="false">IF(N(E142)=0,"",J142/E142)</f>
        <v/>
      </c>
      <c r="O142" s="11"/>
    </row>
    <row r="143" customFormat="false" ht="15" hidden="false" customHeight="false" outlineLevel="0" collapsed="false">
      <c r="A143" s="38"/>
      <c r="B143" s="39" t="str">
        <f aca="false">IF(A143="","",CHOOSE(WEEKDAY(A143,2),"Lun","Mar","Mié","Jue","Vie","Sáb","Dom"))</f>
        <v/>
      </c>
      <c r="C143" s="11"/>
      <c r="D143" s="40"/>
      <c r="E143" s="40"/>
      <c r="F143" s="40"/>
      <c r="G143" s="41"/>
      <c r="H143" s="42"/>
      <c r="I143" s="40"/>
      <c r="J143" s="43"/>
      <c r="K143" s="44" t="str">
        <f aca="false">IF(N(D143)=0,"",E143/D143)</f>
        <v/>
      </c>
      <c r="L143" s="44" t="str">
        <f aca="false">IF(N(E143)=0,"",I143/E143)</f>
        <v/>
      </c>
      <c r="M143" s="45" t="str">
        <f aca="false">IF(N(I143)=0,"",J143/I143)</f>
        <v/>
      </c>
      <c r="N143" s="45" t="str">
        <f aca="false">IF(N(E143)=0,"",J143/E143)</f>
        <v/>
      </c>
      <c r="O143" s="11"/>
    </row>
    <row r="144" customFormat="false" ht="15" hidden="false" customHeight="false" outlineLevel="0" collapsed="false">
      <c r="A144" s="38"/>
      <c r="B144" s="39" t="str">
        <f aca="false">IF(A144="","",CHOOSE(WEEKDAY(A144,2),"Lun","Mar","Mié","Jue","Vie","Sáb","Dom"))</f>
        <v/>
      </c>
      <c r="C144" s="11"/>
      <c r="D144" s="40"/>
      <c r="E144" s="40"/>
      <c r="F144" s="40"/>
      <c r="G144" s="41"/>
      <c r="H144" s="42"/>
      <c r="I144" s="40"/>
      <c r="J144" s="43"/>
      <c r="K144" s="44" t="str">
        <f aca="false">IF(N(D144)=0,"",E144/D144)</f>
        <v/>
      </c>
      <c r="L144" s="44" t="str">
        <f aca="false">IF(N(E144)=0,"",I144/E144)</f>
        <v/>
      </c>
      <c r="M144" s="45" t="str">
        <f aca="false">IF(N(I144)=0,"",J144/I144)</f>
        <v/>
      </c>
      <c r="N144" s="45" t="str">
        <f aca="false">IF(N(E144)=0,"",J144/E144)</f>
        <v/>
      </c>
      <c r="O144" s="11"/>
    </row>
    <row r="145" customFormat="false" ht="15" hidden="false" customHeight="false" outlineLevel="0" collapsed="false">
      <c r="A145" s="38"/>
      <c r="B145" s="39" t="str">
        <f aca="false">IF(A145="","",CHOOSE(WEEKDAY(A145,2),"Lun","Mar","Mié","Jue","Vie","Sáb","Dom"))</f>
        <v/>
      </c>
      <c r="C145" s="11"/>
      <c r="D145" s="40"/>
      <c r="E145" s="40"/>
      <c r="F145" s="40"/>
      <c r="G145" s="41"/>
      <c r="H145" s="42"/>
      <c r="I145" s="40"/>
      <c r="J145" s="43"/>
      <c r="K145" s="44" t="str">
        <f aca="false">IF(N(D145)=0,"",E145/D145)</f>
        <v/>
      </c>
      <c r="L145" s="44" t="str">
        <f aca="false">IF(N(E145)=0,"",I145/E145)</f>
        <v/>
      </c>
      <c r="M145" s="45" t="str">
        <f aca="false">IF(N(I145)=0,"",J145/I145)</f>
        <v/>
      </c>
      <c r="N145" s="45" t="str">
        <f aca="false">IF(N(E145)=0,"",J145/E145)</f>
        <v/>
      </c>
      <c r="O145" s="11"/>
    </row>
    <row r="146" customFormat="false" ht="15" hidden="false" customHeight="false" outlineLevel="0" collapsed="false">
      <c r="A146" s="38"/>
      <c r="B146" s="39" t="str">
        <f aca="false">IF(A146="","",CHOOSE(WEEKDAY(A146,2),"Lun","Mar","Mié","Jue","Vie","Sáb","Dom"))</f>
        <v/>
      </c>
      <c r="C146" s="11"/>
      <c r="D146" s="40"/>
      <c r="E146" s="40"/>
      <c r="F146" s="40"/>
      <c r="G146" s="41"/>
      <c r="H146" s="42"/>
      <c r="I146" s="40"/>
      <c r="J146" s="43"/>
      <c r="K146" s="44" t="str">
        <f aca="false">IF(N(D146)=0,"",E146/D146)</f>
        <v/>
      </c>
      <c r="L146" s="44" t="str">
        <f aca="false">IF(N(E146)=0,"",I146/E146)</f>
        <v/>
      </c>
      <c r="M146" s="45" t="str">
        <f aca="false">IF(N(I146)=0,"",J146/I146)</f>
        <v/>
      </c>
      <c r="N146" s="45" t="str">
        <f aca="false">IF(N(E146)=0,"",J146/E146)</f>
        <v/>
      </c>
      <c r="O146" s="11"/>
    </row>
    <row r="147" customFormat="false" ht="15" hidden="false" customHeight="false" outlineLevel="0" collapsed="false">
      <c r="A147" s="38"/>
      <c r="B147" s="39" t="str">
        <f aca="false">IF(A147="","",CHOOSE(WEEKDAY(A147,2),"Lun","Mar","Mié","Jue","Vie","Sáb","Dom"))</f>
        <v/>
      </c>
      <c r="C147" s="11"/>
      <c r="D147" s="40"/>
      <c r="E147" s="40"/>
      <c r="F147" s="40"/>
      <c r="G147" s="41"/>
      <c r="H147" s="42"/>
      <c r="I147" s="40"/>
      <c r="J147" s="43"/>
      <c r="K147" s="44" t="str">
        <f aca="false">IF(N(D147)=0,"",E147/D147)</f>
        <v/>
      </c>
      <c r="L147" s="44" t="str">
        <f aca="false">IF(N(E147)=0,"",I147/E147)</f>
        <v/>
      </c>
      <c r="M147" s="45" t="str">
        <f aca="false">IF(N(I147)=0,"",J147/I147)</f>
        <v/>
      </c>
      <c r="N147" s="45" t="str">
        <f aca="false">IF(N(E147)=0,"",J147/E147)</f>
        <v/>
      </c>
      <c r="O147" s="11"/>
    </row>
    <row r="148" customFormat="false" ht="15" hidden="false" customHeight="false" outlineLevel="0" collapsed="false">
      <c r="A148" s="38"/>
      <c r="B148" s="39" t="str">
        <f aca="false">IF(A148="","",CHOOSE(WEEKDAY(A148,2),"Lun","Mar","Mié","Jue","Vie","Sáb","Dom"))</f>
        <v/>
      </c>
      <c r="C148" s="11"/>
      <c r="D148" s="40"/>
      <c r="E148" s="40"/>
      <c r="F148" s="40"/>
      <c r="G148" s="41"/>
      <c r="H148" s="42"/>
      <c r="I148" s="40"/>
      <c r="J148" s="43"/>
      <c r="K148" s="44" t="str">
        <f aca="false">IF(N(D148)=0,"",E148/D148)</f>
        <v/>
      </c>
      <c r="L148" s="44" t="str">
        <f aca="false">IF(N(E148)=0,"",I148/E148)</f>
        <v/>
      </c>
      <c r="M148" s="45" t="str">
        <f aca="false">IF(N(I148)=0,"",J148/I148)</f>
        <v/>
      </c>
      <c r="N148" s="45" t="str">
        <f aca="false">IF(N(E148)=0,"",J148/E148)</f>
        <v/>
      </c>
      <c r="O148" s="11"/>
    </row>
    <row r="149" customFormat="false" ht="15" hidden="false" customHeight="false" outlineLevel="0" collapsed="false">
      <c r="A149" s="38"/>
      <c r="B149" s="39" t="str">
        <f aca="false">IF(A149="","",CHOOSE(WEEKDAY(A149,2),"Lun","Mar","Mié","Jue","Vie","Sáb","Dom"))</f>
        <v/>
      </c>
      <c r="C149" s="11"/>
      <c r="D149" s="40"/>
      <c r="E149" s="40"/>
      <c r="F149" s="40"/>
      <c r="G149" s="41"/>
      <c r="H149" s="42"/>
      <c r="I149" s="40"/>
      <c r="J149" s="43"/>
      <c r="K149" s="44" t="str">
        <f aca="false">IF(N(D149)=0,"",E149/D149)</f>
        <v/>
      </c>
      <c r="L149" s="44" t="str">
        <f aca="false">IF(N(E149)=0,"",I149/E149)</f>
        <v/>
      </c>
      <c r="M149" s="45" t="str">
        <f aca="false">IF(N(I149)=0,"",J149/I149)</f>
        <v/>
      </c>
      <c r="N149" s="45" t="str">
        <f aca="false">IF(N(E149)=0,"",J149/E149)</f>
        <v/>
      </c>
      <c r="O149" s="11"/>
    </row>
    <row r="150" customFormat="false" ht="15" hidden="false" customHeight="false" outlineLevel="0" collapsed="false">
      <c r="A150" s="38"/>
      <c r="B150" s="39" t="str">
        <f aca="false">IF(A150="","",CHOOSE(WEEKDAY(A150,2),"Lun","Mar","Mié","Jue","Vie","Sáb","Dom"))</f>
        <v/>
      </c>
      <c r="C150" s="11"/>
      <c r="D150" s="40"/>
      <c r="E150" s="40"/>
      <c r="F150" s="40"/>
      <c r="G150" s="41"/>
      <c r="H150" s="42"/>
      <c r="I150" s="40"/>
      <c r="J150" s="43"/>
      <c r="K150" s="44" t="str">
        <f aca="false">IF(N(D150)=0,"",E150/D150)</f>
        <v/>
      </c>
      <c r="L150" s="44" t="str">
        <f aca="false">IF(N(E150)=0,"",I150/E150)</f>
        <v/>
      </c>
      <c r="M150" s="45" t="str">
        <f aca="false">IF(N(I150)=0,"",J150/I150)</f>
        <v/>
      </c>
      <c r="N150" s="45" t="str">
        <f aca="false">IF(N(E150)=0,"",J150/E150)</f>
        <v/>
      </c>
      <c r="O150" s="11"/>
    </row>
    <row r="151" customFormat="false" ht="15" hidden="false" customHeight="false" outlineLevel="0" collapsed="false">
      <c r="A151" s="38"/>
      <c r="B151" s="39" t="str">
        <f aca="false">IF(A151="","",CHOOSE(WEEKDAY(A151,2),"Lun","Mar","Mié","Jue","Vie","Sáb","Dom"))</f>
        <v/>
      </c>
      <c r="C151" s="11"/>
      <c r="D151" s="40"/>
      <c r="E151" s="40"/>
      <c r="F151" s="40"/>
      <c r="G151" s="41"/>
      <c r="H151" s="42"/>
      <c r="I151" s="40"/>
      <c r="J151" s="43"/>
      <c r="K151" s="44" t="str">
        <f aca="false">IF(N(D151)=0,"",E151/D151)</f>
        <v/>
      </c>
      <c r="L151" s="44" t="str">
        <f aca="false">IF(N(E151)=0,"",I151/E151)</f>
        <v/>
      </c>
      <c r="M151" s="45" t="str">
        <f aca="false">IF(N(I151)=0,"",J151/I151)</f>
        <v/>
      </c>
      <c r="N151" s="45" t="str">
        <f aca="false">IF(N(E151)=0,"",J151/E151)</f>
        <v/>
      </c>
      <c r="O151" s="11"/>
    </row>
    <row r="152" customFormat="false" ht="15" hidden="false" customHeight="false" outlineLevel="0" collapsed="false">
      <c r="A152" s="38"/>
      <c r="B152" s="39" t="str">
        <f aca="false">IF(A152="","",CHOOSE(WEEKDAY(A152,2),"Lun","Mar","Mié","Jue","Vie","Sáb","Dom"))</f>
        <v/>
      </c>
      <c r="C152" s="11"/>
      <c r="D152" s="40"/>
      <c r="E152" s="40"/>
      <c r="F152" s="40"/>
      <c r="G152" s="41"/>
      <c r="H152" s="42"/>
      <c r="I152" s="40"/>
      <c r="J152" s="43"/>
      <c r="K152" s="44" t="str">
        <f aca="false">IF(N(D152)=0,"",E152/D152)</f>
        <v/>
      </c>
      <c r="L152" s="44" t="str">
        <f aca="false">IF(N(E152)=0,"",I152/E152)</f>
        <v/>
      </c>
      <c r="M152" s="45" t="str">
        <f aca="false">IF(N(I152)=0,"",J152/I152)</f>
        <v/>
      </c>
      <c r="N152" s="45" t="str">
        <f aca="false">IF(N(E152)=0,"",J152/E152)</f>
        <v/>
      </c>
      <c r="O152" s="11"/>
    </row>
    <row r="153" customFormat="false" ht="15" hidden="false" customHeight="false" outlineLevel="0" collapsed="false">
      <c r="A153" s="38"/>
      <c r="B153" s="39" t="str">
        <f aca="false">IF(A153="","",CHOOSE(WEEKDAY(A153,2),"Lun","Mar","Mié","Jue","Vie","Sáb","Dom"))</f>
        <v/>
      </c>
      <c r="C153" s="11"/>
      <c r="D153" s="40"/>
      <c r="E153" s="40"/>
      <c r="F153" s="40"/>
      <c r="G153" s="41"/>
      <c r="H153" s="42"/>
      <c r="I153" s="40"/>
      <c r="J153" s="43"/>
      <c r="K153" s="44" t="str">
        <f aca="false">IF(N(D153)=0,"",E153/D153)</f>
        <v/>
      </c>
      <c r="L153" s="44" t="str">
        <f aca="false">IF(N(E153)=0,"",I153/E153)</f>
        <v/>
      </c>
      <c r="M153" s="45" t="str">
        <f aca="false">IF(N(I153)=0,"",J153/I153)</f>
        <v/>
      </c>
      <c r="N153" s="45" t="str">
        <f aca="false">IF(N(E153)=0,"",J153/E153)</f>
        <v/>
      </c>
      <c r="O153" s="11"/>
    </row>
    <row r="154" customFormat="false" ht="15" hidden="false" customHeight="false" outlineLevel="0" collapsed="false">
      <c r="A154" s="38"/>
      <c r="B154" s="39" t="str">
        <f aca="false">IF(A154="","",CHOOSE(WEEKDAY(A154,2),"Lun","Mar","Mié","Jue","Vie","Sáb","Dom"))</f>
        <v/>
      </c>
      <c r="C154" s="11"/>
      <c r="D154" s="40"/>
      <c r="E154" s="40"/>
      <c r="F154" s="40"/>
      <c r="G154" s="41"/>
      <c r="H154" s="42"/>
      <c r="I154" s="40"/>
      <c r="J154" s="43"/>
      <c r="K154" s="44" t="str">
        <f aca="false">IF(N(D154)=0,"",E154/D154)</f>
        <v/>
      </c>
      <c r="L154" s="44" t="str">
        <f aca="false">IF(N(E154)=0,"",I154/E154)</f>
        <v/>
      </c>
      <c r="M154" s="45" t="str">
        <f aca="false">IF(N(I154)=0,"",J154/I154)</f>
        <v/>
      </c>
      <c r="N154" s="45" t="str">
        <f aca="false">IF(N(E154)=0,"",J154/E154)</f>
        <v/>
      </c>
      <c r="O154" s="11"/>
    </row>
    <row r="155" customFormat="false" ht="15" hidden="false" customHeight="false" outlineLevel="0" collapsed="false">
      <c r="A155" s="38"/>
      <c r="B155" s="39" t="str">
        <f aca="false">IF(A155="","",CHOOSE(WEEKDAY(A155,2),"Lun","Mar","Mié","Jue","Vie","Sáb","Dom"))</f>
        <v/>
      </c>
      <c r="C155" s="11"/>
      <c r="D155" s="40"/>
      <c r="E155" s="40"/>
      <c r="F155" s="40"/>
      <c r="G155" s="41"/>
      <c r="H155" s="42"/>
      <c r="I155" s="40"/>
      <c r="J155" s="43"/>
      <c r="K155" s="44" t="str">
        <f aca="false">IF(N(D155)=0,"",E155/D155)</f>
        <v/>
      </c>
      <c r="L155" s="44" t="str">
        <f aca="false">IF(N(E155)=0,"",I155/E155)</f>
        <v/>
      </c>
      <c r="M155" s="45" t="str">
        <f aca="false">IF(N(I155)=0,"",J155/I155)</f>
        <v/>
      </c>
      <c r="N155" s="45" t="str">
        <f aca="false">IF(N(E155)=0,"",J155/E155)</f>
        <v/>
      </c>
      <c r="O155" s="11"/>
    </row>
    <row r="156" customFormat="false" ht="15" hidden="false" customHeight="false" outlineLevel="0" collapsed="false">
      <c r="A156" s="38"/>
      <c r="B156" s="39" t="str">
        <f aca="false">IF(A156="","",CHOOSE(WEEKDAY(A156,2),"Lun","Mar","Mié","Jue","Vie","Sáb","Dom"))</f>
        <v/>
      </c>
      <c r="C156" s="11"/>
      <c r="D156" s="40"/>
      <c r="E156" s="40"/>
      <c r="F156" s="40"/>
      <c r="G156" s="41"/>
      <c r="H156" s="42"/>
      <c r="I156" s="40"/>
      <c r="J156" s="43"/>
      <c r="K156" s="44" t="str">
        <f aca="false">IF(N(D156)=0,"",E156/D156)</f>
        <v/>
      </c>
      <c r="L156" s="44" t="str">
        <f aca="false">IF(N(E156)=0,"",I156/E156)</f>
        <v/>
      </c>
      <c r="M156" s="45" t="str">
        <f aca="false">IF(N(I156)=0,"",J156/I156)</f>
        <v/>
      </c>
      <c r="N156" s="45" t="str">
        <f aca="false">IF(N(E156)=0,"",J156/E156)</f>
        <v/>
      </c>
      <c r="O156" s="11"/>
    </row>
    <row r="157" customFormat="false" ht="15" hidden="false" customHeight="false" outlineLevel="0" collapsed="false">
      <c r="A157" s="38"/>
      <c r="B157" s="39" t="str">
        <f aca="false">IF(A157="","",CHOOSE(WEEKDAY(A157,2),"Lun","Mar","Mié","Jue","Vie","Sáb","Dom"))</f>
        <v/>
      </c>
      <c r="C157" s="11"/>
      <c r="D157" s="40"/>
      <c r="E157" s="40"/>
      <c r="F157" s="40"/>
      <c r="G157" s="41"/>
      <c r="H157" s="42"/>
      <c r="I157" s="40"/>
      <c r="J157" s="43"/>
      <c r="K157" s="44" t="str">
        <f aca="false">IF(N(D157)=0,"",E157/D157)</f>
        <v/>
      </c>
      <c r="L157" s="44" t="str">
        <f aca="false">IF(N(E157)=0,"",I157/E157)</f>
        <v/>
      </c>
      <c r="M157" s="45" t="str">
        <f aca="false">IF(N(I157)=0,"",J157/I157)</f>
        <v/>
      </c>
      <c r="N157" s="45" t="str">
        <f aca="false">IF(N(E157)=0,"",J157/E157)</f>
        <v/>
      </c>
      <c r="O157" s="11"/>
    </row>
    <row r="158" customFormat="false" ht="15" hidden="false" customHeight="false" outlineLevel="0" collapsed="false">
      <c r="A158" s="38"/>
      <c r="B158" s="39" t="str">
        <f aca="false">IF(A158="","",CHOOSE(WEEKDAY(A158,2),"Lun","Mar","Mié","Jue","Vie","Sáb","Dom"))</f>
        <v/>
      </c>
      <c r="C158" s="11"/>
      <c r="D158" s="40"/>
      <c r="E158" s="40"/>
      <c r="F158" s="40"/>
      <c r="G158" s="41"/>
      <c r="H158" s="42"/>
      <c r="I158" s="40"/>
      <c r="J158" s="43"/>
      <c r="K158" s="44" t="str">
        <f aca="false">IF(N(D158)=0,"",E158/D158)</f>
        <v/>
      </c>
      <c r="L158" s="44" t="str">
        <f aca="false">IF(N(E158)=0,"",I158/E158)</f>
        <v/>
      </c>
      <c r="M158" s="45" t="str">
        <f aca="false">IF(N(I158)=0,"",J158/I158)</f>
        <v/>
      </c>
      <c r="N158" s="45" t="str">
        <f aca="false">IF(N(E158)=0,"",J158/E158)</f>
        <v/>
      </c>
      <c r="O158" s="11"/>
    </row>
    <row r="159" customFormat="false" ht="15" hidden="false" customHeight="false" outlineLevel="0" collapsed="false">
      <c r="A159" s="38"/>
      <c r="B159" s="39" t="str">
        <f aca="false">IF(A159="","",CHOOSE(WEEKDAY(A159,2),"Lun","Mar","Mié","Jue","Vie","Sáb","Dom"))</f>
        <v/>
      </c>
      <c r="C159" s="11"/>
      <c r="D159" s="40"/>
      <c r="E159" s="40"/>
      <c r="F159" s="40"/>
      <c r="G159" s="41"/>
      <c r="H159" s="42"/>
      <c r="I159" s="40"/>
      <c r="J159" s="43"/>
      <c r="K159" s="44" t="str">
        <f aca="false">IF(N(D159)=0,"",E159/D159)</f>
        <v/>
      </c>
      <c r="L159" s="44" t="str">
        <f aca="false">IF(N(E159)=0,"",I159/E159)</f>
        <v/>
      </c>
      <c r="M159" s="45" t="str">
        <f aca="false">IF(N(I159)=0,"",J159/I159)</f>
        <v/>
      </c>
      <c r="N159" s="45" t="str">
        <f aca="false">IF(N(E159)=0,"",J159/E159)</f>
        <v/>
      </c>
      <c r="O159" s="11"/>
    </row>
    <row r="160" customFormat="false" ht="15" hidden="false" customHeight="false" outlineLevel="0" collapsed="false">
      <c r="A160" s="38"/>
      <c r="B160" s="39" t="str">
        <f aca="false">IF(A160="","",CHOOSE(WEEKDAY(A160,2),"Lun","Mar","Mié","Jue","Vie","Sáb","Dom"))</f>
        <v/>
      </c>
      <c r="C160" s="11"/>
      <c r="D160" s="40"/>
      <c r="E160" s="40"/>
      <c r="F160" s="40"/>
      <c r="G160" s="41"/>
      <c r="H160" s="42"/>
      <c r="I160" s="40"/>
      <c r="J160" s="43"/>
      <c r="K160" s="44" t="str">
        <f aca="false">IF(N(D160)=0,"",E160/D160)</f>
        <v/>
      </c>
      <c r="L160" s="44" t="str">
        <f aca="false">IF(N(E160)=0,"",I160/E160)</f>
        <v/>
      </c>
      <c r="M160" s="45" t="str">
        <f aca="false">IF(N(I160)=0,"",J160/I160)</f>
        <v/>
      </c>
      <c r="N160" s="45" t="str">
        <f aca="false">IF(N(E160)=0,"",J160/E160)</f>
        <v/>
      </c>
      <c r="O160" s="11"/>
    </row>
    <row r="161" customFormat="false" ht="15" hidden="false" customHeight="false" outlineLevel="0" collapsed="false">
      <c r="A161" s="38"/>
      <c r="B161" s="39" t="str">
        <f aca="false">IF(A161="","",CHOOSE(WEEKDAY(A161,2),"Lun","Mar","Mié","Jue","Vie","Sáb","Dom"))</f>
        <v/>
      </c>
      <c r="C161" s="11"/>
      <c r="D161" s="40"/>
      <c r="E161" s="40"/>
      <c r="F161" s="40"/>
      <c r="G161" s="41"/>
      <c r="H161" s="42"/>
      <c r="I161" s="40"/>
      <c r="J161" s="43"/>
      <c r="K161" s="44" t="str">
        <f aca="false">IF(N(D161)=0,"",E161/D161)</f>
        <v/>
      </c>
      <c r="L161" s="44" t="str">
        <f aca="false">IF(N(E161)=0,"",I161/E161)</f>
        <v/>
      </c>
      <c r="M161" s="45" t="str">
        <f aca="false">IF(N(I161)=0,"",J161/I161)</f>
        <v/>
      </c>
      <c r="N161" s="45" t="str">
        <f aca="false">IF(N(E161)=0,"",J161/E161)</f>
        <v/>
      </c>
      <c r="O161" s="11"/>
    </row>
    <row r="162" customFormat="false" ht="15" hidden="false" customHeight="false" outlineLevel="0" collapsed="false">
      <c r="A162" s="38"/>
      <c r="B162" s="39" t="str">
        <f aca="false">IF(A162="","",CHOOSE(WEEKDAY(A162,2),"Lun","Mar","Mié","Jue","Vie","Sáb","Dom"))</f>
        <v/>
      </c>
      <c r="C162" s="11"/>
      <c r="D162" s="40"/>
      <c r="E162" s="40"/>
      <c r="F162" s="40"/>
      <c r="G162" s="41"/>
      <c r="H162" s="42"/>
      <c r="I162" s="40"/>
      <c r="J162" s="43"/>
      <c r="K162" s="44" t="str">
        <f aca="false">IF(N(D162)=0,"",E162/D162)</f>
        <v/>
      </c>
      <c r="L162" s="44" t="str">
        <f aca="false">IF(N(E162)=0,"",I162/E162)</f>
        <v/>
      </c>
      <c r="M162" s="45" t="str">
        <f aca="false">IF(N(I162)=0,"",J162/I162)</f>
        <v/>
      </c>
      <c r="N162" s="45" t="str">
        <f aca="false">IF(N(E162)=0,"",J162/E162)</f>
        <v/>
      </c>
      <c r="O162" s="11"/>
    </row>
    <row r="163" customFormat="false" ht="15" hidden="false" customHeight="false" outlineLevel="0" collapsed="false">
      <c r="A163" s="38"/>
      <c r="B163" s="39" t="str">
        <f aca="false">IF(A163="","",CHOOSE(WEEKDAY(A163,2),"Lun","Mar","Mié","Jue","Vie","Sáb","Dom"))</f>
        <v/>
      </c>
      <c r="C163" s="11"/>
      <c r="D163" s="40"/>
      <c r="E163" s="40"/>
      <c r="F163" s="40"/>
      <c r="G163" s="41"/>
      <c r="H163" s="42"/>
      <c r="I163" s="40"/>
      <c r="J163" s="43"/>
      <c r="K163" s="44" t="str">
        <f aca="false">IF(N(D163)=0,"",E163/D163)</f>
        <v/>
      </c>
      <c r="L163" s="44" t="str">
        <f aca="false">IF(N(E163)=0,"",I163/E163)</f>
        <v/>
      </c>
      <c r="M163" s="45" t="str">
        <f aca="false">IF(N(I163)=0,"",J163/I163)</f>
        <v/>
      </c>
      <c r="N163" s="45" t="str">
        <f aca="false">IF(N(E163)=0,"",J163/E163)</f>
        <v/>
      </c>
      <c r="O163" s="11"/>
    </row>
    <row r="164" customFormat="false" ht="15" hidden="false" customHeight="false" outlineLevel="0" collapsed="false">
      <c r="A164" s="38"/>
      <c r="B164" s="39" t="str">
        <f aca="false">IF(A164="","",CHOOSE(WEEKDAY(A164,2),"Lun","Mar","Mié","Jue","Vie","Sáb","Dom"))</f>
        <v/>
      </c>
      <c r="C164" s="11"/>
      <c r="D164" s="40"/>
      <c r="E164" s="40"/>
      <c r="F164" s="40"/>
      <c r="G164" s="41"/>
      <c r="H164" s="42"/>
      <c r="I164" s="40"/>
      <c r="J164" s="43"/>
      <c r="K164" s="44" t="str">
        <f aca="false">IF(N(D164)=0,"",E164/D164)</f>
        <v/>
      </c>
      <c r="L164" s="44" t="str">
        <f aca="false">IF(N(E164)=0,"",I164/E164)</f>
        <v/>
      </c>
      <c r="M164" s="45" t="str">
        <f aca="false">IF(N(I164)=0,"",J164/I164)</f>
        <v/>
      </c>
      <c r="N164" s="45" t="str">
        <f aca="false">IF(N(E164)=0,"",J164/E164)</f>
        <v/>
      </c>
      <c r="O164" s="11"/>
    </row>
    <row r="165" customFormat="false" ht="15" hidden="false" customHeight="false" outlineLevel="0" collapsed="false">
      <c r="A165" s="38"/>
      <c r="B165" s="39" t="str">
        <f aca="false">IF(A165="","",CHOOSE(WEEKDAY(A165,2),"Lun","Mar","Mié","Jue","Vie","Sáb","Dom"))</f>
        <v/>
      </c>
      <c r="C165" s="11"/>
      <c r="D165" s="40"/>
      <c r="E165" s="40"/>
      <c r="F165" s="40"/>
      <c r="G165" s="41"/>
      <c r="H165" s="42"/>
      <c r="I165" s="40"/>
      <c r="J165" s="43"/>
      <c r="K165" s="44" t="str">
        <f aca="false">IF(N(D165)=0,"",E165/D165)</f>
        <v/>
      </c>
      <c r="L165" s="44" t="str">
        <f aca="false">IF(N(E165)=0,"",I165/E165)</f>
        <v/>
      </c>
      <c r="M165" s="45" t="str">
        <f aca="false">IF(N(I165)=0,"",J165/I165)</f>
        <v/>
      </c>
      <c r="N165" s="45" t="str">
        <f aca="false">IF(N(E165)=0,"",J165/E165)</f>
        <v/>
      </c>
      <c r="O165" s="11"/>
    </row>
    <row r="166" customFormat="false" ht="15" hidden="false" customHeight="false" outlineLevel="0" collapsed="false">
      <c r="A166" s="38"/>
      <c r="B166" s="39" t="str">
        <f aca="false">IF(A166="","",CHOOSE(WEEKDAY(A166,2),"Lun","Mar","Mié","Jue","Vie","Sáb","Dom"))</f>
        <v/>
      </c>
      <c r="C166" s="11"/>
      <c r="D166" s="40"/>
      <c r="E166" s="40"/>
      <c r="F166" s="40"/>
      <c r="G166" s="41"/>
      <c r="H166" s="42"/>
      <c r="I166" s="40"/>
      <c r="J166" s="43"/>
      <c r="K166" s="44" t="str">
        <f aca="false">IF(N(D166)=0,"",E166/D166)</f>
        <v/>
      </c>
      <c r="L166" s="44" t="str">
        <f aca="false">IF(N(E166)=0,"",I166/E166)</f>
        <v/>
      </c>
      <c r="M166" s="45" t="str">
        <f aca="false">IF(N(I166)=0,"",J166/I166)</f>
        <v/>
      </c>
      <c r="N166" s="45" t="str">
        <f aca="false">IF(N(E166)=0,"",J166/E166)</f>
        <v/>
      </c>
      <c r="O166" s="11"/>
    </row>
    <row r="167" customFormat="false" ht="15" hidden="false" customHeight="false" outlineLevel="0" collapsed="false">
      <c r="A167" s="38"/>
      <c r="B167" s="39" t="str">
        <f aca="false">IF(A167="","",CHOOSE(WEEKDAY(A167,2),"Lun","Mar","Mié","Jue","Vie","Sáb","Dom"))</f>
        <v/>
      </c>
      <c r="C167" s="11"/>
      <c r="D167" s="40"/>
      <c r="E167" s="40"/>
      <c r="F167" s="40"/>
      <c r="G167" s="41"/>
      <c r="H167" s="42"/>
      <c r="I167" s="40"/>
      <c r="J167" s="43"/>
      <c r="K167" s="44" t="str">
        <f aca="false">IF(N(D167)=0,"",E167/D167)</f>
        <v/>
      </c>
      <c r="L167" s="44" t="str">
        <f aca="false">IF(N(E167)=0,"",I167/E167)</f>
        <v/>
      </c>
      <c r="M167" s="45" t="str">
        <f aca="false">IF(N(I167)=0,"",J167/I167)</f>
        <v/>
      </c>
      <c r="N167" s="45" t="str">
        <f aca="false">IF(N(E167)=0,"",J167/E167)</f>
        <v/>
      </c>
      <c r="O167" s="11"/>
    </row>
    <row r="168" customFormat="false" ht="15" hidden="false" customHeight="false" outlineLevel="0" collapsed="false">
      <c r="A168" s="38"/>
      <c r="B168" s="39" t="str">
        <f aca="false">IF(A168="","",CHOOSE(WEEKDAY(A168,2),"Lun","Mar","Mié","Jue","Vie","Sáb","Dom"))</f>
        <v/>
      </c>
      <c r="C168" s="11"/>
      <c r="D168" s="40"/>
      <c r="E168" s="40"/>
      <c r="F168" s="40"/>
      <c r="G168" s="41"/>
      <c r="H168" s="42"/>
      <c r="I168" s="40"/>
      <c r="J168" s="43"/>
      <c r="K168" s="44" t="str">
        <f aca="false">IF(N(D168)=0,"",E168/D168)</f>
        <v/>
      </c>
      <c r="L168" s="44" t="str">
        <f aca="false">IF(N(E168)=0,"",I168/E168)</f>
        <v/>
      </c>
      <c r="M168" s="45" t="str">
        <f aca="false">IF(N(I168)=0,"",J168/I168)</f>
        <v/>
      </c>
      <c r="N168" s="45" t="str">
        <f aca="false">IF(N(E168)=0,"",J168/E168)</f>
        <v/>
      </c>
      <c r="O168" s="11"/>
    </row>
    <row r="169" customFormat="false" ht="15" hidden="false" customHeight="false" outlineLevel="0" collapsed="false">
      <c r="A169" s="38"/>
      <c r="B169" s="39" t="str">
        <f aca="false">IF(A169="","",CHOOSE(WEEKDAY(A169,2),"Lun","Mar","Mié","Jue","Vie","Sáb","Dom"))</f>
        <v/>
      </c>
      <c r="C169" s="11"/>
      <c r="D169" s="40"/>
      <c r="E169" s="40"/>
      <c r="F169" s="40"/>
      <c r="G169" s="41"/>
      <c r="H169" s="42"/>
      <c r="I169" s="40"/>
      <c r="J169" s="43"/>
      <c r="K169" s="44" t="str">
        <f aca="false">IF(N(D169)=0,"",E169/D169)</f>
        <v/>
      </c>
      <c r="L169" s="44" t="str">
        <f aca="false">IF(N(E169)=0,"",I169/E169)</f>
        <v/>
      </c>
      <c r="M169" s="45" t="str">
        <f aca="false">IF(N(I169)=0,"",J169/I169)</f>
        <v/>
      </c>
      <c r="N169" s="45" t="str">
        <f aca="false">IF(N(E169)=0,"",J169/E169)</f>
        <v/>
      </c>
      <c r="O169" s="11"/>
    </row>
    <row r="170" customFormat="false" ht="15" hidden="false" customHeight="false" outlineLevel="0" collapsed="false">
      <c r="A170" s="38"/>
      <c r="B170" s="39" t="str">
        <f aca="false">IF(A170="","",CHOOSE(WEEKDAY(A170,2),"Lun","Mar","Mié","Jue","Vie","Sáb","Dom"))</f>
        <v/>
      </c>
      <c r="C170" s="11"/>
      <c r="D170" s="40"/>
      <c r="E170" s="40"/>
      <c r="F170" s="40"/>
      <c r="G170" s="41"/>
      <c r="H170" s="42"/>
      <c r="I170" s="40"/>
      <c r="J170" s="43"/>
      <c r="K170" s="44" t="str">
        <f aca="false">IF(N(D170)=0,"",E170/D170)</f>
        <v/>
      </c>
      <c r="L170" s="44" t="str">
        <f aca="false">IF(N(E170)=0,"",I170/E170)</f>
        <v/>
      </c>
      <c r="M170" s="45" t="str">
        <f aca="false">IF(N(I170)=0,"",J170/I170)</f>
        <v/>
      </c>
      <c r="N170" s="45" t="str">
        <f aca="false">IF(N(E170)=0,"",J170/E170)</f>
        <v/>
      </c>
      <c r="O170" s="11"/>
    </row>
    <row r="171" customFormat="false" ht="15" hidden="false" customHeight="false" outlineLevel="0" collapsed="false">
      <c r="A171" s="38"/>
      <c r="B171" s="39" t="str">
        <f aca="false">IF(A171="","",CHOOSE(WEEKDAY(A171,2),"Lun","Mar","Mié","Jue","Vie","Sáb","Dom"))</f>
        <v/>
      </c>
      <c r="C171" s="11"/>
      <c r="D171" s="40"/>
      <c r="E171" s="40"/>
      <c r="F171" s="40"/>
      <c r="G171" s="41"/>
      <c r="H171" s="42"/>
      <c r="I171" s="40"/>
      <c r="J171" s="43"/>
      <c r="K171" s="44" t="str">
        <f aca="false">IF(N(D171)=0,"",E171/D171)</f>
        <v/>
      </c>
      <c r="L171" s="44" t="str">
        <f aca="false">IF(N(E171)=0,"",I171/E171)</f>
        <v/>
      </c>
      <c r="M171" s="45" t="str">
        <f aca="false">IF(N(I171)=0,"",J171/I171)</f>
        <v/>
      </c>
      <c r="N171" s="45" t="str">
        <f aca="false">IF(N(E171)=0,"",J171/E171)</f>
        <v/>
      </c>
      <c r="O171" s="11"/>
    </row>
    <row r="172" customFormat="false" ht="15" hidden="false" customHeight="false" outlineLevel="0" collapsed="false">
      <c r="A172" s="38"/>
      <c r="B172" s="39" t="str">
        <f aca="false">IF(A172="","",CHOOSE(WEEKDAY(A172,2),"Lun","Mar","Mié","Jue","Vie","Sáb","Dom"))</f>
        <v/>
      </c>
      <c r="C172" s="11"/>
      <c r="D172" s="40"/>
      <c r="E172" s="40"/>
      <c r="F172" s="40"/>
      <c r="G172" s="41"/>
      <c r="H172" s="42"/>
      <c r="I172" s="40"/>
      <c r="J172" s="43"/>
      <c r="K172" s="44" t="str">
        <f aca="false">IF(N(D172)=0,"",E172/D172)</f>
        <v/>
      </c>
      <c r="L172" s="44" t="str">
        <f aca="false">IF(N(E172)=0,"",I172/E172)</f>
        <v/>
      </c>
      <c r="M172" s="45" t="str">
        <f aca="false">IF(N(I172)=0,"",J172/I172)</f>
        <v/>
      </c>
      <c r="N172" s="45" t="str">
        <f aca="false">IF(N(E172)=0,"",J172/E172)</f>
        <v/>
      </c>
      <c r="O172" s="11"/>
    </row>
    <row r="173" customFormat="false" ht="15" hidden="false" customHeight="false" outlineLevel="0" collapsed="false">
      <c r="A173" s="38"/>
      <c r="B173" s="39" t="str">
        <f aca="false">IF(A173="","",CHOOSE(WEEKDAY(A173,2),"Lun","Mar","Mié","Jue","Vie","Sáb","Dom"))</f>
        <v/>
      </c>
      <c r="C173" s="11"/>
      <c r="D173" s="40"/>
      <c r="E173" s="40"/>
      <c r="F173" s="40"/>
      <c r="G173" s="41"/>
      <c r="H173" s="42"/>
      <c r="I173" s="40"/>
      <c r="J173" s="43"/>
      <c r="K173" s="44" t="str">
        <f aca="false">IF(N(D173)=0,"",E173/D173)</f>
        <v/>
      </c>
      <c r="L173" s="44" t="str">
        <f aca="false">IF(N(E173)=0,"",I173/E173)</f>
        <v/>
      </c>
      <c r="M173" s="45" t="str">
        <f aca="false">IF(N(I173)=0,"",J173/I173)</f>
        <v/>
      </c>
      <c r="N173" s="45" t="str">
        <f aca="false">IF(N(E173)=0,"",J173/E173)</f>
        <v/>
      </c>
      <c r="O173" s="11"/>
    </row>
    <row r="174" customFormat="false" ht="15" hidden="false" customHeight="false" outlineLevel="0" collapsed="false">
      <c r="A174" s="38"/>
      <c r="B174" s="39" t="str">
        <f aca="false">IF(A174="","",CHOOSE(WEEKDAY(A174,2),"Lun","Mar","Mié","Jue","Vie","Sáb","Dom"))</f>
        <v/>
      </c>
      <c r="C174" s="11"/>
      <c r="D174" s="40"/>
      <c r="E174" s="40"/>
      <c r="F174" s="40"/>
      <c r="G174" s="41"/>
      <c r="H174" s="42"/>
      <c r="I174" s="40"/>
      <c r="J174" s="43"/>
      <c r="K174" s="44" t="str">
        <f aca="false">IF(N(D174)=0,"",E174/D174)</f>
        <v/>
      </c>
      <c r="L174" s="44" t="str">
        <f aca="false">IF(N(E174)=0,"",I174/E174)</f>
        <v/>
      </c>
      <c r="M174" s="45" t="str">
        <f aca="false">IF(N(I174)=0,"",J174/I174)</f>
        <v/>
      </c>
      <c r="N174" s="45" t="str">
        <f aca="false">IF(N(E174)=0,"",J174/E174)</f>
        <v/>
      </c>
      <c r="O174" s="11"/>
    </row>
    <row r="175" customFormat="false" ht="15" hidden="false" customHeight="false" outlineLevel="0" collapsed="false">
      <c r="A175" s="38"/>
      <c r="B175" s="39" t="str">
        <f aca="false">IF(A175="","",CHOOSE(WEEKDAY(A175,2),"Lun","Mar","Mié","Jue","Vie","Sáb","Dom"))</f>
        <v/>
      </c>
      <c r="C175" s="11"/>
      <c r="D175" s="40"/>
      <c r="E175" s="40"/>
      <c r="F175" s="40"/>
      <c r="G175" s="41"/>
      <c r="H175" s="42"/>
      <c r="I175" s="40"/>
      <c r="J175" s="43"/>
      <c r="K175" s="44" t="str">
        <f aca="false">IF(N(D175)=0,"",E175/D175)</f>
        <v/>
      </c>
      <c r="L175" s="44" t="str">
        <f aca="false">IF(N(E175)=0,"",I175/E175)</f>
        <v/>
      </c>
      <c r="M175" s="45" t="str">
        <f aca="false">IF(N(I175)=0,"",J175/I175)</f>
        <v/>
      </c>
      <c r="N175" s="45" t="str">
        <f aca="false">IF(N(E175)=0,"",J175/E175)</f>
        <v/>
      </c>
      <c r="O175" s="11"/>
    </row>
    <row r="176" customFormat="false" ht="15" hidden="false" customHeight="false" outlineLevel="0" collapsed="false">
      <c r="A176" s="38"/>
      <c r="B176" s="39" t="str">
        <f aca="false">IF(A176="","",CHOOSE(WEEKDAY(A176,2),"Lun","Mar","Mié","Jue","Vie","Sáb","Dom"))</f>
        <v/>
      </c>
      <c r="C176" s="11"/>
      <c r="D176" s="40"/>
      <c r="E176" s="40"/>
      <c r="F176" s="40"/>
      <c r="G176" s="41"/>
      <c r="H176" s="42"/>
      <c r="I176" s="40"/>
      <c r="J176" s="43"/>
      <c r="K176" s="44" t="str">
        <f aca="false">IF(N(D176)=0,"",E176/D176)</f>
        <v/>
      </c>
      <c r="L176" s="44" t="str">
        <f aca="false">IF(N(E176)=0,"",I176/E176)</f>
        <v/>
      </c>
      <c r="M176" s="45" t="str">
        <f aca="false">IF(N(I176)=0,"",J176/I176)</f>
        <v/>
      </c>
      <c r="N176" s="45" t="str">
        <f aca="false">IF(N(E176)=0,"",J176/E176)</f>
        <v/>
      </c>
      <c r="O176" s="11"/>
    </row>
    <row r="177" customFormat="false" ht="15" hidden="false" customHeight="false" outlineLevel="0" collapsed="false">
      <c r="A177" s="38"/>
      <c r="B177" s="39" t="str">
        <f aca="false">IF(A177="","",CHOOSE(WEEKDAY(A177,2),"Lun","Mar","Mié","Jue","Vie","Sáb","Dom"))</f>
        <v/>
      </c>
      <c r="C177" s="11"/>
      <c r="D177" s="40"/>
      <c r="E177" s="40"/>
      <c r="F177" s="40"/>
      <c r="G177" s="41"/>
      <c r="H177" s="42"/>
      <c r="I177" s="40"/>
      <c r="J177" s="43"/>
      <c r="K177" s="44" t="str">
        <f aca="false">IF(N(D177)=0,"",E177/D177)</f>
        <v/>
      </c>
      <c r="L177" s="44" t="str">
        <f aca="false">IF(N(E177)=0,"",I177/E177)</f>
        <v/>
      </c>
      <c r="M177" s="45" t="str">
        <f aca="false">IF(N(I177)=0,"",J177/I177)</f>
        <v/>
      </c>
      <c r="N177" s="45" t="str">
        <f aca="false">IF(N(E177)=0,"",J177/E177)</f>
        <v/>
      </c>
      <c r="O177" s="11"/>
    </row>
    <row r="178" customFormat="false" ht="15" hidden="false" customHeight="false" outlineLevel="0" collapsed="false">
      <c r="A178" s="38"/>
      <c r="B178" s="39" t="str">
        <f aca="false">IF(A178="","",CHOOSE(WEEKDAY(A178,2),"Lun","Mar","Mié","Jue","Vie","Sáb","Dom"))</f>
        <v/>
      </c>
      <c r="C178" s="11"/>
      <c r="D178" s="40"/>
      <c r="E178" s="40"/>
      <c r="F178" s="40"/>
      <c r="G178" s="41"/>
      <c r="H178" s="42"/>
      <c r="I178" s="40"/>
      <c r="J178" s="43"/>
      <c r="K178" s="44" t="str">
        <f aca="false">IF(N(D178)=0,"",E178/D178)</f>
        <v/>
      </c>
      <c r="L178" s="44" t="str">
        <f aca="false">IF(N(E178)=0,"",I178/E178)</f>
        <v/>
      </c>
      <c r="M178" s="45" t="str">
        <f aca="false">IF(N(I178)=0,"",J178/I178)</f>
        <v/>
      </c>
      <c r="N178" s="45" t="str">
        <f aca="false">IF(N(E178)=0,"",J178/E178)</f>
        <v/>
      </c>
      <c r="O178" s="11"/>
    </row>
    <row r="179" customFormat="false" ht="15" hidden="false" customHeight="false" outlineLevel="0" collapsed="false">
      <c r="A179" s="38"/>
      <c r="B179" s="39" t="str">
        <f aca="false">IF(A179="","",CHOOSE(WEEKDAY(A179,2),"Lun","Mar","Mié","Jue","Vie","Sáb","Dom"))</f>
        <v/>
      </c>
      <c r="C179" s="11"/>
      <c r="D179" s="40"/>
      <c r="E179" s="40"/>
      <c r="F179" s="40"/>
      <c r="G179" s="41"/>
      <c r="H179" s="42"/>
      <c r="I179" s="40"/>
      <c r="J179" s="43"/>
      <c r="K179" s="44" t="str">
        <f aca="false">IF(N(D179)=0,"",E179/D179)</f>
        <v/>
      </c>
      <c r="L179" s="44" t="str">
        <f aca="false">IF(N(E179)=0,"",I179/E179)</f>
        <v/>
      </c>
      <c r="M179" s="45" t="str">
        <f aca="false">IF(N(I179)=0,"",J179/I179)</f>
        <v/>
      </c>
      <c r="N179" s="45" t="str">
        <f aca="false">IF(N(E179)=0,"",J179/E179)</f>
        <v/>
      </c>
      <c r="O179" s="11"/>
    </row>
    <row r="180" customFormat="false" ht="15" hidden="false" customHeight="false" outlineLevel="0" collapsed="false">
      <c r="A180" s="38"/>
      <c r="B180" s="39" t="str">
        <f aca="false">IF(A180="","",CHOOSE(WEEKDAY(A180,2),"Lun","Mar","Mié","Jue","Vie","Sáb","Dom"))</f>
        <v/>
      </c>
      <c r="C180" s="11"/>
      <c r="D180" s="40"/>
      <c r="E180" s="40"/>
      <c r="F180" s="40"/>
      <c r="G180" s="41"/>
      <c r="H180" s="42"/>
      <c r="I180" s="40"/>
      <c r="J180" s="43"/>
      <c r="K180" s="44" t="str">
        <f aca="false">IF(N(D180)=0,"",E180/D180)</f>
        <v/>
      </c>
      <c r="L180" s="44" t="str">
        <f aca="false">IF(N(E180)=0,"",I180/E180)</f>
        <v/>
      </c>
      <c r="M180" s="45" t="str">
        <f aca="false">IF(N(I180)=0,"",J180/I180)</f>
        <v/>
      </c>
      <c r="N180" s="45" t="str">
        <f aca="false">IF(N(E180)=0,"",J180/E180)</f>
        <v/>
      </c>
      <c r="O180" s="11"/>
    </row>
    <row r="181" customFormat="false" ht="15" hidden="false" customHeight="false" outlineLevel="0" collapsed="false">
      <c r="A181" s="38"/>
      <c r="B181" s="39" t="str">
        <f aca="false">IF(A181="","",CHOOSE(WEEKDAY(A181,2),"Lun","Mar","Mié","Jue","Vie","Sáb","Dom"))</f>
        <v/>
      </c>
      <c r="C181" s="11"/>
      <c r="D181" s="40"/>
      <c r="E181" s="40"/>
      <c r="F181" s="40"/>
      <c r="G181" s="41"/>
      <c r="H181" s="42"/>
      <c r="I181" s="40"/>
      <c r="J181" s="43"/>
      <c r="K181" s="44" t="str">
        <f aca="false">IF(N(D181)=0,"",E181/D181)</f>
        <v/>
      </c>
      <c r="L181" s="44" t="str">
        <f aca="false">IF(N(E181)=0,"",I181/E181)</f>
        <v/>
      </c>
      <c r="M181" s="45" t="str">
        <f aca="false">IF(N(I181)=0,"",J181/I181)</f>
        <v/>
      </c>
      <c r="N181" s="45" t="str">
        <f aca="false">IF(N(E181)=0,"",J181/E181)</f>
        <v/>
      </c>
      <c r="O181" s="11"/>
    </row>
    <row r="182" customFormat="false" ht="15" hidden="false" customHeight="false" outlineLevel="0" collapsed="false">
      <c r="A182" s="38"/>
      <c r="B182" s="39" t="str">
        <f aca="false">IF(A182="","",CHOOSE(WEEKDAY(A182,2),"Lun","Mar","Mié","Jue","Vie","Sáb","Dom"))</f>
        <v/>
      </c>
      <c r="C182" s="11"/>
      <c r="D182" s="40"/>
      <c r="E182" s="40"/>
      <c r="F182" s="40"/>
      <c r="G182" s="41"/>
      <c r="H182" s="42"/>
      <c r="I182" s="40"/>
      <c r="J182" s="43"/>
      <c r="K182" s="44" t="str">
        <f aca="false">IF(N(D182)=0,"",E182/D182)</f>
        <v/>
      </c>
      <c r="L182" s="44" t="str">
        <f aca="false">IF(N(E182)=0,"",I182/E182)</f>
        <v/>
      </c>
      <c r="M182" s="45" t="str">
        <f aca="false">IF(N(I182)=0,"",J182/I182)</f>
        <v/>
      </c>
      <c r="N182" s="45" t="str">
        <f aca="false">IF(N(E182)=0,"",J182/E182)</f>
        <v/>
      </c>
      <c r="O182" s="11"/>
    </row>
    <row r="183" customFormat="false" ht="15" hidden="false" customHeight="false" outlineLevel="0" collapsed="false">
      <c r="A183" s="38"/>
      <c r="B183" s="39" t="str">
        <f aca="false">IF(A183="","",CHOOSE(WEEKDAY(A183,2),"Lun","Mar","Mié","Jue","Vie","Sáb","Dom"))</f>
        <v/>
      </c>
      <c r="C183" s="11"/>
      <c r="D183" s="40"/>
      <c r="E183" s="40"/>
      <c r="F183" s="40"/>
      <c r="G183" s="41"/>
      <c r="H183" s="42"/>
      <c r="I183" s="40"/>
      <c r="J183" s="43"/>
      <c r="K183" s="44" t="str">
        <f aca="false">IF(N(D183)=0,"",E183/D183)</f>
        <v/>
      </c>
      <c r="L183" s="44" t="str">
        <f aca="false">IF(N(E183)=0,"",I183/E183)</f>
        <v/>
      </c>
      <c r="M183" s="45" t="str">
        <f aca="false">IF(N(I183)=0,"",J183/I183)</f>
        <v/>
      </c>
      <c r="N183" s="45" t="str">
        <f aca="false">IF(N(E183)=0,"",J183/E183)</f>
        <v/>
      </c>
      <c r="O183" s="11"/>
    </row>
    <row r="184" customFormat="false" ht="15" hidden="false" customHeight="false" outlineLevel="0" collapsed="false">
      <c r="A184" s="38"/>
      <c r="B184" s="39" t="str">
        <f aca="false">IF(A184="","",CHOOSE(WEEKDAY(A184,2),"Lun","Mar","Mié","Jue","Vie","Sáb","Dom"))</f>
        <v/>
      </c>
      <c r="C184" s="11"/>
      <c r="D184" s="40"/>
      <c r="E184" s="40"/>
      <c r="F184" s="40"/>
      <c r="G184" s="41"/>
      <c r="H184" s="42"/>
      <c r="I184" s="40"/>
      <c r="J184" s="43"/>
      <c r="K184" s="44" t="str">
        <f aca="false">IF(N(D184)=0,"",E184/D184)</f>
        <v/>
      </c>
      <c r="L184" s="44" t="str">
        <f aca="false">IF(N(E184)=0,"",I184/E184)</f>
        <v/>
      </c>
      <c r="M184" s="45" t="str">
        <f aca="false">IF(N(I184)=0,"",J184/I184)</f>
        <v/>
      </c>
      <c r="N184" s="45" t="str">
        <f aca="false">IF(N(E184)=0,"",J184/E184)</f>
        <v/>
      </c>
      <c r="O184" s="11"/>
    </row>
    <row r="185" customFormat="false" ht="15" hidden="false" customHeight="false" outlineLevel="0" collapsed="false">
      <c r="A185" s="38"/>
      <c r="B185" s="39" t="str">
        <f aca="false">IF(A185="","",CHOOSE(WEEKDAY(A185,2),"Lun","Mar","Mié","Jue","Vie","Sáb","Dom"))</f>
        <v/>
      </c>
      <c r="C185" s="11"/>
      <c r="D185" s="40"/>
      <c r="E185" s="40"/>
      <c r="F185" s="40"/>
      <c r="G185" s="41"/>
      <c r="H185" s="42"/>
      <c r="I185" s="40"/>
      <c r="J185" s="43"/>
      <c r="K185" s="44" t="str">
        <f aca="false">IF(N(D185)=0,"",E185/D185)</f>
        <v/>
      </c>
      <c r="L185" s="44" t="str">
        <f aca="false">IF(N(E185)=0,"",I185/E185)</f>
        <v/>
      </c>
      <c r="M185" s="45" t="str">
        <f aca="false">IF(N(I185)=0,"",J185/I185)</f>
        <v/>
      </c>
      <c r="N185" s="45" t="str">
        <f aca="false">IF(N(E185)=0,"",J185/E185)</f>
        <v/>
      </c>
      <c r="O185" s="11"/>
    </row>
    <row r="186" customFormat="false" ht="15" hidden="false" customHeight="false" outlineLevel="0" collapsed="false">
      <c r="A186" s="38"/>
      <c r="B186" s="39" t="str">
        <f aca="false">IF(A186="","",CHOOSE(WEEKDAY(A186,2),"Lun","Mar","Mié","Jue","Vie","Sáb","Dom"))</f>
        <v/>
      </c>
      <c r="C186" s="11"/>
      <c r="D186" s="40"/>
      <c r="E186" s="40"/>
      <c r="F186" s="40"/>
      <c r="G186" s="41"/>
      <c r="H186" s="42"/>
      <c r="I186" s="40"/>
      <c r="J186" s="43"/>
      <c r="K186" s="44" t="str">
        <f aca="false">IF(N(D186)=0,"",E186/D186)</f>
        <v/>
      </c>
      <c r="L186" s="44" t="str">
        <f aca="false">IF(N(E186)=0,"",I186/E186)</f>
        <v/>
      </c>
      <c r="M186" s="45" t="str">
        <f aca="false">IF(N(I186)=0,"",J186/I186)</f>
        <v/>
      </c>
      <c r="N186" s="45" t="str">
        <f aca="false">IF(N(E186)=0,"",J186/E186)</f>
        <v/>
      </c>
      <c r="O186" s="11"/>
    </row>
    <row r="187" customFormat="false" ht="15" hidden="false" customHeight="false" outlineLevel="0" collapsed="false">
      <c r="A187" s="38"/>
      <c r="B187" s="39" t="str">
        <f aca="false">IF(A187="","",CHOOSE(WEEKDAY(A187,2),"Lun","Mar","Mié","Jue","Vie","Sáb","Dom"))</f>
        <v/>
      </c>
      <c r="C187" s="11"/>
      <c r="D187" s="40"/>
      <c r="E187" s="40"/>
      <c r="F187" s="40"/>
      <c r="G187" s="41"/>
      <c r="H187" s="42"/>
      <c r="I187" s="40"/>
      <c r="J187" s="43"/>
      <c r="K187" s="44" t="str">
        <f aca="false">IF(N(D187)=0,"",E187/D187)</f>
        <v/>
      </c>
      <c r="L187" s="44" t="str">
        <f aca="false">IF(N(E187)=0,"",I187/E187)</f>
        <v/>
      </c>
      <c r="M187" s="45" t="str">
        <f aca="false">IF(N(I187)=0,"",J187/I187)</f>
        <v/>
      </c>
      <c r="N187" s="45" t="str">
        <f aca="false">IF(N(E187)=0,"",J187/E187)</f>
        <v/>
      </c>
      <c r="O187" s="11"/>
    </row>
    <row r="188" customFormat="false" ht="15" hidden="false" customHeight="false" outlineLevel="0" collapsed="false">
      <c r="A188" s="38"/>
      <c r="B188" s="39" t="str">
        <f aca="false">IF(A188="","",CHOOSE(WEEKDAY(A188,2),"Lun","Mar","Mié","Jue","Vie","Sáb","Dom"))</f>
        <v/>
      </c>
      <c r="C188" s="11"/>
      <c r="D188" s="40"/>
      <c r="E188" s="40"/>
      <c r="F188" s="40"/>
      <c r="G188" s="41"/>
      <c r="H188" s="42"/>
      <c r="I188" s="40"/>
      <c r="J188" s="43"/>
      <c r="K188" s="44" t="str">
        <f aca="false">IF(N(D188)=0,"",E188/D188)</f>
        <v/>
      </c>
      <c r="L188" s="44" t="str">
        <f aca="false">IF(N(E188)=0,"",I188/E188)</f>
        <v/>
      </c>
      <c r="M188" s="45" t="str">
        <f aca="false">IF(N(I188)=0,"",J188/I188)</f>
        <v/>
      </c>
      <c r="N188" s="45" t="str">
        <f aca="false">IF(N(E188)=0,"",J188/E188)</f>
        <v/>
      </c>
      <c r="O188" s="11"/>
    </row>
    <row r="189" customFormat="false" ht="15" hidden="false" customHeight="false" outlineLevel="0" collapsed="false">
      <c r="A189" s="38"/>
      <c r="B189" s="39" t="str">
        <f aca="false">IF(A189="","",CHOOSE(WEEKDAY(A189,2),"Lun","Mar","Mié","Jue","Vie","Sáb","Dom"))</f>
        <v/>
      </c>
      <c r="C189" s="11"/>
      <c r="D189" s="40"/>
      <c r="E189" s="40"/>
      <c r="F189" s="40"/>
      <c r="G189" s="41"/>
      <c r="H189" s="42"/>
      <c r="I189" s="40"/>
      <c r="J189" s="43"/>
      <c r="K189" s="44" t="str">
        <f aca="false">IF(N(D189)=0,"",E189/D189)</f>
        <v/>
      </c>
      <c r="L189" s="44" t="str">
        <f aca="false">IF(N(E189)=0,"",I189/E189)</f>
        <v/>
      </c>
      <c r="M189" s="45" t="str">
        <f aca="false">IF(N(I189)=0,"",J189/I189)</f>
        <v/>
      </c>
      <c r="N189" s="45" t="str">
        <f aca="false">IF(N(E189)=0,"",J189/E189)</f>
        <v/>
      </c>
      <c r="O189" s="11"/>
    </row>
    <row r="190" customFormat="false" ht="15" hidden="false" customHeight="false" outlineLevel="0" collapsed="false">
      <c r="A190" s="38"/>
      <c r="B190" s="39" t="str">
        <f aca="false">IF(A190="","",CHOOSE(WEEKDAY(A190,2),"Lun","Mar","Mié","Jue","Vie","Sáb","Dom"))</f>
        <v/>
      </c>
      <c r="C190" s="11"/>
      <c r="D190" s="40"/>
      <c r="E190" s="40"/>
      <c r="F190" s="40"/>
      <c r="G190" s="41"/>
      <c r="H190" s="42"/>
      <c r="I190" s="40"/>
      <c r="J190" s="43"/>
      <c r="K190" s="44" t="str">
        <f aca="false">IF(N(D190)=0,"",E190/D190)</f>
        <v/>
      </c>
      <c r="L190" s="44" t="str">
        <f aca="false">IF(N(E190)=0,"",I190/E190)</f>
        <v/>
      </c>
      <c r="M190" s="45" t="str">
        <f aca="false">IF(N(I190)=0,"",J190/I190)</f>
        <v/>
      </c>
      <c r="N190" s="45" t="str">
        <f aca="false">IF(N(E190)=0,"",J190/E190)</f>
        <v/>
      </c>
      <c r="O190" s="11"/>
    </row>
    <row r="191" customFormat="false" ht="15" hidden="false" customHeight="false" outlineLevel="0" collapsed="false">
      <c r="A191" s="38"/>
      <c r="B191" s="39" t="str">
        <f aca="false">IF(A191="","",CHOOSE(WEEKDAY(A191,2),"Lun","Mar","Mié","Jue","Vie","Sáb","Dom"))</f>
        <v/>
      </c>
      <c r="C191" s="11"/>
      <c r="D191" s="40"/>
      <c r="E191" s="40"/>
      <c r="F191" s="40"/>
      <c r="G191" s="41"/>
      <c r="H191" s="42"/>
      <c r="I191" s="40"/>
      <c r="J191" s="43"/>
      <c r="K191" s="44" t="str">
        <f aca="false">IF(N(D191)=0,"",E191/D191)</f>
        <v/>
      </c>
      <c r="L191" s="44" t="str">
        <f aca="false">IF(N(E191)=0,"",I191/E191)</f>
        <v/>
      </c>
      <c r="M191" s="45" t="str">
        <f aca="false">IF(N(I191)=0,"",J191/I191)</f>
        <v/>
      </c>
      <c r="N191" s="45" t="str">
        <f aca="false">IF(N(E191)=0,"",J191/E191)</f>
        <v/>
      </c>
      <c r="O191" s="11"/>
    </row>
    <row r="192" customFormat="false" ht="15" hidden="false" customHeight="false" outlineLevel="0" collapsed="false">
      <c r="A192" s="38"/>
      <c r="B192" s="39" t="str">
        <f aca="false">IF(A192="","",CHOOSE(WEEKDAY(A192,2),"Lun","Mar","Mié","Jue","Vie","Sáb","Dom"))</f>
        <v/>
      </c>
      <c r="C192" s="11"/>
      <c r="D192" s="40"/>
      <c r="E192" s="40"/>
      <c r="F192" s="40"/>
      <c r="G192" s="41"/>
      <c r="H192" s="42"/>
      <c r="I192" s="40"/>
      <c r="J192" s="43"/>
      <c r="K192" s="44" t="str">
        <f aca="false">IF(N(D192)=0,"",E192/D192)</f>
        <v/>
      </c>
      <c r="L192" s="44" t="str">
        <f aca="false">IF(N(E192)=0,"",I192/E192)</f>
        <v/>
      </c>
      <c r="M192" s="45" t="str">
        <f aca="false">IF(N(I192)=0,"",J192/I192)</f>
        <v/>
      </c>
      <c r="N192" s="45" t="str">
        <f aca="false">IF(N(E192)=0,"",J192/E192)</f>
        <v/>
      </c>
      <c r="O192" s="11"/>
    </row>
    <row r="193" customFormat="false" ht="15" hidden="false" customHeight="false" outlineLevel="0" collapsed="false">
      <c r="A193" s="38"/>
      <c r="B193" s="39" t="str">
        <f aca="false">IF(A193="","",CHOOSE(WEEKDAY(A193,2),"Lun","Mar","Mié","Jue","Vie","Sáb","Dom"))</f>
        <v/>
      </c>
      <c r="C193" s="11"/>
      <c r="D193" s="40"/>
      <c r="E193" s="40"/>
      <c r="F193" s="40"/>
      <c r="G193" s="41"/>
      <c r="H193" s="42"/>
      <c r="I193" s="40"/>
      <c r="J193" s="43"/>
      <c r="K193" s="44" t="str">
        <f aca="false">IF(N(D193)=0,"",E193/D193)</f>
        <v/>
      </c>
      <c r="L193" s="44" t="str">
        <f aca="false">IF(N(E193)=0,"",I193/E193)</f>
        <v/>
      </c>
      <c r="M193" s="45" t="str">
        <f aca="false">IF(N(I193)=0,"",J193/I193)</f>
        <v/>
      </c>
      <c r="N193" s="45" t="str">
        <f aca="false">IF(N(E193)=0,"",J193/E193)</f>
        <v/>
      </c>
      <c r="O193" s="11"/>
    </row>
    <row r="194" customFormat="false" ht="15" hidden="false" customHeight="false" outlineLevel="0" collapsed="false">
      <c r="A194" s="38"/>
      <c r="B194" s="39" t="str">
        <f aca="false">IF(A194="","",CHOOSE(WEEKDAY(A194,2),"Lun","Mar","Mié","Jue","Vie","Sáb","Dom"))</f>
        <v/>
      </c>
      <c r="C194" s="11"/>
      <c r="D194" s="40"/>
      <c r="E194" s="40"/>
      <c r="F194" s="40"/>
      <c r="G194" s="41"/>
      <c r="H194" s="42"/>
      <c r="I194" s="40"/>
      <c r="J194" s="43"/>
      <c r="K194" s="44" t="str">
        <f aca="false">IF(N(D194)=0,"",E194/D194)</f>
        <v/>
      </c>
      <c r="L194" s="44" t="str">
        <f aca="false">IF(N(E194)=0,"",I194/E194)</f>
        <v/>
      </c>
      <c r="M194" s="45" t="str">
        <f aca="false">IF(N(I194)=0,"",J194/I194)</f>
        <v/>
      </c>
      <c r="N194" s="45" t="str">
        <f aca="false">IF(N(E194)=0,"",J194/E194)</f>
        <v/>
      </c>
      <c r="O194" s="11"/>
    </row>
    <row r="195" customFormat="false" ht="15" hidden="false" customHeight="false" outlineLevel="0" collapsed="false">
      <c r="A195" s="38"/>
      <c r="B195" s="39" t="str">
        <f aca="false">IF(A195="","",CHOOSE(WEEKDAY(A195,2),"Lun","Mar","Mié","Jue","Vie","Sáb","Dom"))</f>
        <v/>
      </c>
      <c r="C195" s="11"/>
      <c r="D195" s="40"/>
      <c r="E195" s="40"/>
      <c r="F195" s="40"/>
      <c r="G195" s="41"/>
      <c r="H195" s="42"/>
      <c r="I195" s="40"/>
      <c r="J195" s="43"/>
      <c r="K195" s="44" t="str">
        <f aca="false">IF(N(D195)=0,"",E195/D195)</f>
        <v/>
      </c>
      <c r="L195" s="44" t="str">
        <f aca="false">IF(N(E195)=0,"",I195/E195)</f>
        <v/>
      </c>
      <c r="M195" s="45" t="str">
        <f aca="false">IF(N(I195)=0,"",J195/I195)</f>
        <v/>
      </c>
      <c r="N195" s="45" t="str">
        <f aca="false">IF(N(E195)=0,"",J195/E195)</f>
        <v/>
      </c>
      <c r="O195" s="11"/>
    </row>
    <row r="196" customFormat="false" ht="15" hidden="false" customHeight="false" outlineLevel="0" collapsed="false">
      <c r="A196" s="38"/>
      <c r="B196" s="39" t="str">
        <f aca="false">IF(A196="","",CHOOSE(WEEKDAY(A196,2),"Lun","Mar","Mié","Jue","Vie","Sáb","Dom"))</f>
        <v/>
      </c>
      <c r="C196" s="11"/>
      <c r="D196" s="40"/>
      <c r="E196" s="40"/>
      <c r="F196" s="40"/>
      <c r="G196" s="41"/>
      <c r="H196" s="42"/>
      <c r="I196" s="40"/>
      <c r="J196" s="43"/>
      <c r="K196" s="44" t="str">
        <f aca="false">IF(N(D196)=0,"",E196/D196)</f>
        <v/>
      </c>
      <c r="L196" s="44" t="str">
        <f aca="false">IF(N(E196)=0,"",I196/E196)</f>
        <v/>
      </c>
      <c r="M196" s="45" t="str">
        <f aca="false">IF(N(I196)=0,"",J196/I196)</f>
        <v/>
      </c>
      <c r="N196" s="45" t="str">
        <f aca="false">IF(N(E196)=0,"",J196/E196)</f>
        <v/>
      </c>
      <c r="O196" s="11"/>
    </row>
    <row r="197" customFormat="false" ht="15" hidden="false" customHeight="false" outlineLevel="0" collapsed="false">
      <c r="A197" s="38"/>
      <c r="B197" s="39" t="str">
        <f aca="false">IF(A197="","",CHOOSE(WEEKDAY(A197,2),"Lun","Mar","Mié","Jue","Vie","Sáb","Dom"))</f>
        <v/>
      </c>
      <c r="C197" s="11"/>
      <c r="D197" s="40"/>
      <c r="E197" s="40"/>
      <c r="F197" s="40"/>
      <c r="G197" s="41"/>
      <c r="H197" s="42"/>
      <c r="I197" s="40"/>
      <c r="J197" s="43"/>
      <c r="K197" s="44" t="str">
        <f aca="false">IF(N(D197)=0,"",E197/D197)</f>
        <v/>
      </c>
      <c r="L197" s="44" t="str">
        <f aca="false">IF(N(E197)=0,"",I197/E197)</f>
        <v/>
      </c>
      <c r="M197" s="45" t="str">
        <f aca="false">IF(N(I197)=0,"",J197/I197)</f>
        <v/>
      </c>
      <c r="N197" s="45" t="str">
        <f aca="false">IF(N(E197)=0,"",J197/E197)</f>
        <v/>
      </c>
      <c r="O197" s="11"/>
    </row>
    <row r="198" customFormat="false" ht="15" hidden="false" customHeight="false" outlineLevel="0" collapsed="false">
      <c r="A198" s="38"/>
      <c r="B198" s="39" t="str">
        <f aca="false">IF(A198="","",CHOOSE(WEEKDAY(A198,2),"Lun","Mar","Mié","Jue","Vie","Sáb","Dom"))</f>
        <v/>
      </c>
      <c r="C198" s="11"/>
      <c r="D198" s="40"/>
      <c r="E198" s="40"/>
      <c r="F198" s="40"/>
      <c r="G198" s="41"/>
      <c r="H198" s="42"/>
      <c r="I198" s="40"/>
      <c r="J198" s="43"/>
      <c r="K198" s="44" t="str">
        <f aca="false">IF(N(D198)=0,"",E198/D198)</f>
        <v/>
      </c>
      <c r="L198" s="44" t="str">
        <f aca="false">IF(N(E198)=0,"",I198/E198)</f>
        <v/>
      </c>
      <c r="M198" s="45" t="str">
        <f aca="false">IF(N(I198)=0,"",J198/I198)</f>
        <v/>
      </c>
      <c r="N198" s="45" t="str">
        <f aca="false">IF(N(E198)=0,"",J198/E198)</f>
        <v/>
      </c>
      <c r="O198" s="11"/>
    </row>
    <row r="199" customFormat="false" ht="15" hidden="false" customHeight="false" outlineLevel="0" collapsed="false">
      <c r="A199" s="38"/>
      <c r="B199" s="39" t="str">
        <f aca="false">IF(A199="","",CHOOSE(WEEKDAY(A199,2),"Lun","Mar","Mié","Jue","Vie","Sáb","Dom"))</f>
        <v/>
      </c>
      <c r="C199" s="11"/>
      <c r="D199" s="40"/>
      <c r="E199" s="40"/>
      <c r="F199" s="40"/>
      <c r="G199" s="41"/>
      <c r="H199" s="42"/>
      <c r="I199" s="40"/>
      <c r="J199" s="43"/>
      <c r="K199" s="44" t="str">
        <f aca="false">IF(N(D199)=0,"",E199/D199)</f>
        <v/>
      </c>
      <c r="L199" s="44" t="str">
        <f aca="false">IF(N(E199)=0,"",I199/E199)</f>
        <v/>
      </c>
      <c r="M199" s="45" t="str">
        <f aca="false">IF(N(I199)=0,"",J199/I199)</f>
        <v/>
      </c>
      <c r="N199" s="45" t="str">
        <f aca="false">IF(N(E199)=0,"",J199/E199)</f>
        <v/>
      </c>
      <c r="O199" s="11"/>
    </row>
    <row r="200" customFormat="false" ht="15" hidden="false" customHeight="false" outlineLevel="0" collapsed="false">
      <c r="A200" s="38"/>
      <c r="B200" s="39" t="str">
        <f aca="false">IF(A200="","",CHOOSE(WEEKDAY(A200,2),"Lun","Mar","Mié","Jue","Vie","Sáb","Dom"))</f>
        <v/>
      </c>
      <c r="C200" s="11"/>
      <c r="D200" s="40"/>
      <c r="E200" s="40"/>
      <c r="F200" s="40"/>
      <c r="G200" s="41"/>
      <c r="H200" s="42"/>
      <c r="I200" s="40"/>
      <c r="J200" s="43"/>
      <c r="K200" s="44" t="str">
        <f aca="false">IF(N(D200)=0,"",E200/D200)</f>
        <v/>
      </c>
      <c r="L200" s="44" t="str">
        <f aca="false">IF(N(E200)=0,"",I200/E200)</f>
        <v/>
      </c>
      <c r="M200" s="45" t="str">
        <f aca="false">IF(N(I200)=0,"",J200/I200)</f>
        <v/>
      </c>
      <c r="N200" s="45" t="str">
        <f aca="false">IF(N(E200)=0,"",J200/E200)</f>
        <v/>
      </c>
      <c r="O200" s="11"/>
    </row>
    <row r="201" customFormat="false" ht="15" hidden="false" customHeight="false" outlineLevel="0" collapsed="false">
      <c r="A201" s="38"/>
      <c r="B201" s="39" t="str">
        <f aca="false">IF(A201="","",CHOOSE(WEEKDAY(A201,2),"Lun","Mar","Mié","Jue","Vie","Sáb","Dom"))</f>
        <v/>
      </c>
      <c r="C201" s="11"/>
      <c r="D201" s="40"/>
      <c r="E201" s="40"/>
      <c r="F201" s="40"/>
      <c r="G201" s="41"/>
      <c r="H201" s="42"/>
      <c r="I201" s="40"/>
      <c r="J201" s="43"/>
      <c r="K201" s="44" t="str">
        <f aca="false">IF(N(D201)=0,"",E201/D201)</f>
        <v/>
      </c>
      <c r="L201" s="44" t="str">
        <f aca="false">IF(N(E201)=0,"",I201/E201)</f>
        <v/>
      </c>
      <c r="M201" s="45" t="str">
        <f aca="false">IF(N(I201)=0,"",J201/I201)</f>
        <v/>
      </c>
      <c r="N201" s="45" t="str">
        <f aca="false">IF(N(E201)=0,"",J201/E201)</f>
        <v/>
      </c>
      <c r="O201" s="11"/>
    </row>
    <row r="202" customFormat="false" ht="15" hidden="false" customHeight="false" outlineLevel="0" collapsed="false">
      <c r="A202" s="38"/>
      <c r="B202" s="39" t="str">
        <f aca="false">IF(A202="","",CHOOSE(WEEKDAY(A202,2),"Lun","Mar","Mié","Jue","Vie","Sáb","Dom"))</f>
        <v/>
      </c>
      <c r="C202" s="11"/>
      <c r="D202" s="40"/>
      <c r="E202" s="40"/>
      <c r="F202" s="40"/>
      <c r="G202" s="41"/>
      <c r="H202" s="42"/>
      <c r="I202" s="40"/>
      <c r="J202" s="43"/>
      <c r="K202" s="44" t="str">
        <f aca="false">IF(N(D202)=0,"",E202/D202)</f>
        <v/>
      </c>
      <c r="L202" s="44" t="str">
        <f aca="false">IF(N(E202)=0,"",I202/E202)</f>
        <v/>
      </c>
      <c r="M202" s="45" t="str">
        <f aca="false">IF(N(I202)=0,"",J202/I202)</f>
        <v/>
      </c>
      <c r="N202" s="45" t="str">
        <f aca="false">IF(N(E202)=0,"",J202/E202)</f>
        <v/>
      </c>
      <c r="O202" s="11"/>
    </row>
    <row r="203" customFormat="false" ht="15" hidden="false" customHeight="false" outlineLevel="0" collapsed="false">
      <c r="A203" s="38"/>
      <c r="B203" s="39" t="str">
        <f aca="false">IF(A203="","",CHOOSE(WEEKDAY(A203,2),"Lun","Mar","Mié","Jue","Vie","Sáb","Dom"))</f>
        <v/>
      </c>
      <c r="C203" s="11"/>
      <c r="D203" s="40"/>
      <c r="E203" s="40"/>
      <c r="F203" s="40"/>
      <c r="G203" s="41"/>
      <c r="H203" s="42"/>
      <c r="I203" s="40"/>
      <c r="J203" s="43"/>
      <c r="K203" s="44" t="str">
        <f aca="false">IF(N(D203)=0,"",E203/D203)</f>
        <v/>
      </c>
      <c r="L203" s="44" t="str">
        <f aca="false">IF(N(E203)=0,"",I203/E203)</f>
        <v/>
      </c>
      <c r="M203" s="45" t="str">
        <f aca="false">IF(N(I203)=0,"",J203/I203)</f>
        <v/>
      </c>
      <c r="N203" s="45" t="str">
        <f aca="false">IF(N(E203)=0,"",J203/E203)</f>
        <v/>
      </c>
      <c r="O203" s="11"/>
    </row>
    <row r="204" customFormat="false" ht="15" hidden="false" customHeight="false" outlineLevel="0" collapsed="false">
      <c r="A204" s="38"/>
      <c r="B204" s="39" t="str">
        <f aca="false">IF(A204="","",CHOOSE(WEEKDAY(A204,2),"Lun","Mar","Mié","Jue","Vie","Sáb","Dom"))</f>
        <v/>
      </c>
      <c r="C204" s="11"/>
      <c r="D204" s="40"/>
      <c r="E204" s="40"/>
      <c r="F204" s="40"/>
      <c r="G204" s="41"/>
      <c r="H204" s="42"/>
      <c r="I204" s="40"/>
      <c r="J204" s="43"/>
      <c r="K204" s="44" t="str">
        <f aca="false">IF(N(D204)=0,"",E204/D204)</f>
        <v/>
      </c>
      <c r="L204" s="44" t="str">
        <f aca="false">IF(N(E204)=0,"",I204/E204)</f>
        <v/>
      </c>
      <c r="M204" s="45" t="str">
        <f aca="false">IF(N(I204)=0,"",J204/I204)</f>
        <v/>
      </c>
      <c r="N204" s="45" t="str">
        <f aca="false">IF(N(E204)=0,"",J204/E204)</f>
        <v/>
      </c>
      <c r="O204" s="11"/>
    </row>
    <row r="205" customFormat="false" ht="15" hidden="false" customHeight="false" outlineLevel="0" collapsed="false">
      <c r="A205" s="38"/>
      <c r="B205" s="39" t="str">
        <f aca="false">IF(A205="","",CHOOSE(WEEKDAY(A205,2),"Lun","Mar","Mié","Jue","Vie","Sáb","Dom"))</f>
        <v/>
      </c>
      <c r="C205" s="11"/>
      <c r="D205" s="40"/>
      <c r="E205" s="40"/>
      <c r="F205" s="40"/>
      <c r="G205" s="41"/>
      <c r="H205" s="42"/>
      <c r="I205" s="40"/>
      <c r="J205" s="43"/>
      <c r="K205" s="44" t="str">
        <f aca="false">IF(N(D205)=0,"",E205/D205)</f>
        <v/>
      </c>
      <c r="L205" s="44" t="str">
        <f aca="false">IF(N(E205)=0,"",I205/E205)</f>
        <v/>
      </c>
      <c r="M205" s="45" t="str">
        <f aca="false">IF(N(I205)=0,"",J205/I205)</f>
        <v/>
      </c>
      <c r="N205" s="45" t="str">
        <f aca="false">IF(N(E205)=0,"",J205/E205)</f>
        <v/>
      </c>
      <c r="O205" s="11"/>
    </row>
    <row r="206" customFormat="false" ht="15" hidden="false" customHeight="false" outlineLevel="0" collapsed="false">
      <c r="A206" s="38"/>
      <c r="B206" s="39" t="str">
        <f aca="false">IF(A206="","",CHOOSE(WEEKDAY(A206,2),"Lun","Mar","Mié","Jue","Vie","Sáb","Dom"))</f>
        <v/>
      </c>
      <c r="C206" s="11"/>
      <c r="D206" s="40"/>
      <c r="E206" s="40"/>
      <c r="F206" s="40"/>
      <c r="G206" s="41"/>
      <c r="H206" s="42"/>
      <c r="I206" s="40"/>
      <c r="J206" s="43"/>
      <c r="K206" s="44" t="str">
        <f aca="false">IF(N(D206)=0,"",E206/D206)</f>
        <v/>
      </c>
      <c r="L206" s="44" t="str">
        <f aca="false">IF(N(E206)=0,"",I206/E206)</f>
        <v/>
      </c>
      <c r="M206" s="45" t="str">
        <f aca="false">IF(N(I206)=0,"",J206/I206)</f>
        <v/>
      </c>
      <c r="N206" s="45" t="str">
        <f aca="false">IF(N(E206)=0,"",J206/E206)</f>
        <v/>
      </c>
      <c r="O206" s="11"/>
    </row>
    <row r="207" customFormat="false" ht="15" hidden="false" customHeight="false" outlineLevel="0" collapsed="false">
      <c r="A207" s="38"/>
      <c r="B207" s="39" t="str">
        <f aca="false">IF(A207="","",CHOOSE(WEEKDAY(A207,2),"Lun","Mar","Mié","Jue","Vie","Sáb","Dom"))</f>
        <v/>
      </c>
      <c r="C207" s="11"/>
      <c r="D207" s="40"/>
      <c r="E207" s="40"/>
      <c r="F207" s="40"/>
      <c r="G207" s="41"/>
      <c r="H207" s="42"/>
      <c r="I207" s="40"/>
      <c r="J207" s="43"/>
      <c r="K207" s="44" t="str">
        <f aca="false">IF(N(D207)=0,"",E207/D207)</f>
        <v/>
      </c>
      <c r="L207" s="44" t="str">
        <f aca="false">IF(N(E207)=0,"",I207/E207)</f>
        <v/>
      </c>
      <c r="M207" s="45" t="str">
        <f aca="false">IF(N(I207)=0,"",J207/I207)</f>
        <v/>
      </c>
      <c r="N207" s="45" t="str">
        <f aca="false">IF(N(E207)=0,"",J207/E207)</f>
        <v/>
      </c>
      <c r="O207" s="11"/>
    </row>
    <row r="208" customFormat="false" ht="15" hidden="false" customHeight="false" outlineLevel="0" collapsed="false">
      <c r="A208" s="38"/>
      <c r="B208" s="39" t="str">
        <f aca="false">IF(A208="","",CHOOSE(WEEKDAY(A208,2),"Lun","Mar","Mié","Jue","Vie","Sáb","Dom"))</f>
        <v/>
      </c>
      <c r="C208" s="11"/>
      <c r="D208" s="40"/>
      <c r="E208" s="40"/>
      <c r="F208" s="40"/>
      <c r="G208" s="41"/>
      <c r="H208" s="42"/>
      <c r="I208" s="40"/>
      <c r="J208" s="43"/>
      <c r="K208" s="44" t="str">
        <f aca="false">IF(N(D208)=0,"",E208/D208)</f>
        <v/>
      </c>
      <c r="L208" s="44" t="str">
        <f aca="false">IF(N(E208)=0,"",I208/E208)</f>
        <v/>
      </c>
      <c r="M208" s="45" t="str">
        <f aca="false">IF(N(I208)=0,"",J208/I208)</f>
        <v/>
      </c>
      <c r="N208" s="45" t="str">
        <f aca="false">IF(N(E208)=0,"",J208/E208)</f>
        <v/>
      </c>
      <c r="O208" s="11"/>
    </row>
    <row r="209" customFormat="false" ht="15" hidden="false" customHeight="false" outlineLevel="0" collapsed="false">
      <c r="A209" s="38"/>
      <c r="B209" s="39" t="str">
        <f aca="false">IF(A209="","",CHOOSE(WEEKDAY(A209,2),"Lun","Mar","Mié","Jue","Vie","Sáb","Dom"))</f>
        <v/>
      </c>
      <c r="C209" s="11"/>
      <c r="D209" s="40"/>
      <c r="E209" s="40"/>
      <c r="F209" s="40"/>
      <c r="G209" s="41"/>
      <c r="H209" s="42"/>
      <c r="I209" s="40"/>
      <c r="J209" s="43"/>
      <c r="K209" s="44" t="str">
        <f aca="false">IF(N(D209)=0,"",E209/D209)</f>
        <v/>
      </c>
      <c r="L209" s="44" t="str">
        <f aca="false">IF(N(E209)=0,"",I209/E209)</f>
        <v/>
      </c>
      <c r="M209" s="45" t="str">
        <f aca="false">IF(N(I209)=0,"",J209/I209)</f>
        <v/>
      </c>
      <c r="N209" s="45" t="str">
        <f aca="false">IF(N(E209)=0,"",J209/E209)</f>
        <v/>
      </c>
      <c r="O209" s="11"/>
    </row>
    <row r="210" customFormat="false" ht="15" hidden="false" customHeight="false" outlineLevel="0" collapsed="false">
      <c r="A210" s="38"/>
      <c r="B210" s="39" t="str">
        <f aca="false">IF(A210="","",CHOOSE(WEEKDAY(A210,2),"Lun","Mar","Mié","Jue","Vie","Sáb","Dom"))</f>
        <v/>
      </c>
      <c r="C210" s="11"/>
      <c r="D210" s="40"/>
      <c r="E210" s="40"/>
      <c r="F210" s="40"/>
      <c r="G210" s="41"/>
      <c r="H210" s="42"/>
      <c r="I210" s="40"/>
      <c r="J210" s="43"/>
      <c r="K210" s="44" t="str">
        <f aca="false">IF(N(D210)=0,"",E210/D210)</f>
        <v/>
      </c>
      <c r="L210" s="44" t="str">
        <f aca="false">IF(N(E210)=0,"",I210/E210)</f>
        <v/>
      </c>
      <c r="M210" s="45" t="str">
        <f aca="false">IF(N(I210)=0,"",J210/I210)</f>
        <v/>
      </c>
      <c r="N210" s="45" t="str">
        <f aca="false">IF(N(E210)=0,"",J210/E210)</f>
        <v/>
      </c>
      <c r="O210" s="11"/>
    </row>
    <row r="211" customFormat="false" ht="15" hidden="false" customHeight="false" outlineLevel="0" collapsed="false">
      <c r="A211" s="38"/>
      <c r="B211" s="39" t="str">
        <f aca="false">IF(A211="","",CHOOSE(WEEKDAY(A211,2),"Lun","Mar","Mié","Jue","Vie","Sáb","Dom"))</f>
        <v/>
      </c>
      <c r="C211" s="11"/>
      <c r="D211" s="40"/>
      <c r="E211" s="40"/>
      <c r="F211" s="40"/>
      <c r="G211" s="41"/>
      <c r="H211" s="42"/>
      <c r="I211" s="40"/>
      <c r="J211" s="43"/>
      <c r="K211" s="44" t="str">
        <f aca="false">IF(N(D211)=0,"",E211/D211)</f>
        <v/>
      </c>
      <c r="L211" s="44" t="str">
        <f aca="false">IF(N(E211)=0,"",I211/E211)</f>
        <v/>
      </c>
      <c r="M211" s="45" t="str">
        <f aca="false">IF(N(I211)=0,"",J211/I211)</f>
        <v/>
      </c>
      <c r="N211" s="45" t="str">
        <f aca="false">IF(N(E211)=0,"",J211/E211)</f>
        <v/>
      </c>
      <c r="O211" s="11"/>
    </row>
    <row r="212" customFormat="false" ht="15" hidden="false" customHeight="false" outlineLevel="0" collapsed="false">
      <c r="A212" s="38"/>
      <c r="B212" s="39" t="str">
        <f aca="false">IF(A212="","",CHOOSE(WEEKDAY(A212,2),"Lun","Mar","Mié","Jue","Vie","Sáb","Dom"))</f>
        <v/>
      </c>
      <c r="C212" s="11"/>
      <c r="D212" s="40"/>
      <c r="E212" s="40"/>
      <c r="F212" s="40"/>
      <c r="G212" s="41"/>
      <c r="H212" s="42"/>
      <c r="I212" s="40"/>
      <c r="J212" s="43"/>
      <c r="K212" s="44" t="str">
        <f aca="false">IF(N(D212)=0,"",E212/D212)</f>
        <v/>
      </c>
      <c r="L212" s="44" t="str">
        <f aca="false">IF(N(E212)=0,"",I212/E212)</f>
        <v/>
      </c>
      <c r="M212" s="45" t="str">
        <f aca="false">IF(N(I212)=0,"",J212/I212)</f>
        <v/>
      </c>
      <c r="N212" s="45" t="str">
        <f aca="false">IF(N(E212)=0,"",J212/E212)</f>
        <v/>
      </c>
      <c r="O212" s="11"/>
    </row>
    <row r="213" customFormat="false" ht="15" hidden="false" customHeight="false" outlineLevel="0" collapsed="false">
      <c r="A213" s="38"/>
      <c r="B213" s="39" t="str">
        <f aca="false">IF(A213="","",CHOOSE(WEEKDAY(A213,2),"Lun","Mar","Mié","Jue","Vie","Sáb","Dom"))</f>
        <v/>
      </c>
      <c r="C213" s="11"/>
      <c r="D213" s="40"/>
      <c r="E213" s="40"/>
      <c r="F213" s="40"/>
      <c r="G213" s="41"/>
      <c r="H213" s="42"/>
      <c r="I213" s="40"/>
      <c r="J213" s="43"/>
      <c r="K213" s="44" t="str">
        <f aca="false">IF(N(D213)=0,"",E213/D213)</f>
        <v/>
      </c>
      <c r="L213" s="44" t="str">
        <f aca="false">IF(N(E213)=0,"",I213/E213)</f>
        <v/>
      </c>
      <c r="M213" s="45" t="str">
        <f aca="false">IF(N(I213)=0,"",J213/I213)</f>
        <v/>
      </c>
      <c r="N213" s="45" t="str">
        <f aca="false">IF(N(E213)=0,"",J213/E213)</f>
        <v/>
      </c>
      <c r="O213" s="11"/>
    </row>
    <row r="214" customFormat="false" ht="15" hidden="false" customHeight="false" outlineLevel="0" collapsed="false">
      <c r="A214" s="38"/>
      <c r="B214" s="39" t="str">
        <f aca="false">IF(A214="","",CHOOSE(WEEKDAY(A214,2),"Lun","Mar","Mié","Jue","Vie","Sáb","Dom"))</f>
        <v/>
      </c>
      <c r="C214" s="11"/>
      <c r="D214" s="40"/>
      <c r="E214" s="40"/>
      <c r="F214" s="40"/>
      <c r="G214" s="41"/>
      <c r="H214" s="42"/>
      <c r="I214" s="40"/>
      <c r="J214" s="43"/>
      <c r="K214" s="44" t="str">
        <f aca="false">IF(N(D214)=0,"",E214/D214)</f>
        <v/>
      </c>
      <c r="L214" s="44" t="str">
        <f aca="false">IF(N(E214)=0,"",I214/E214)</f>
        <v/>
      </c>
      <c r="M214" s="45" t="str">
        <f aca="false">IF(N(I214)=0,"",J214/I214)</f>
        <v/>
      </c>
      <c r="N214" s="45" t="str">
        <f aca="false">IF(N(E214)=0,"",J214/E214)</f>
        <v/>
      </c>
      <c r="O214" s="11"/>
    </row>
    <row r="215" customFormat="false" ht="15" hidden="false" customHeight="false" outlineLevel="0" collapsed="false">
      <c r="A215" s="38"/>
      <c r="B215" s="39" t="str">
        <f aca="false">IF(A215="","",CHOOSE(WEEKDAY(A215,2),"Lun","Mar","Mié","Jue","Vie","Sáb","Dom"))</f>
        <v/>
      </c>
      <c r="C215" s="11"/>
      <c r="D215" s="40"/>
      <c r="E215" s="40"/>
      <c r="F215" s="40"/>
      <c r="G215" s="41"/>
      <c r="H215" s="42"/>
      <c r="I215" s="40"/>
      <c r="J215" s="43"/>
      <c r="K215" s="44" t="str">
        <f aca="false">IF(N(D215)=0,"",E215/D215)</f>
        <v/>
      </c>
      <c r="L215" s="44" t="str">
        <f aca="false">IF(N(E215)=0,"",I215/E215)</f>
        <v/>
      </c>
      <c r="M215" s="45" t="str">
        <f aca="false">IF(N(I215)=0,"",J215/I215)</f>
        <v/>
      </c>
      <c r="N215" s="45" t="str">
        <f aca="false">IF(N(E215)=0,"",J215/E215)</f>
        <v/>
      </c>
      <c r="O215" s="11"/>
    </row>
    <row r="216" customFormat="false" ht="15" hidden="false" customHeight="false" outlineLevel="0" collapsed="false">
      <c r="A216" s="38"/>
      <c r="B216" s="39" t="str">
        <f aca="false">IF(A216="","",CHOOSE(WEEKDAY(A216,2),"Lun","Mar","Mié","Jue","Vie","Sáb","Dom"))</f>
        <v/>
      </c>
      <c r="C216" s="11"/>
      <c r="D216" s="40"/>
      <c r="E216" s="40"/>
      <c r="F216" s="40"/>
      <c r="G216" s="41"/>
      <c r="H216" s="42"/>
      <c r="I216" s="40"/>
      <c r="J216" s="43"/>
      <c r="K216" s="44" t="str">
        <f aca="false">IF(N(D216)=0,"",E216/D216)</f>
        <v/>
      </c>
      <c r="L216" s="44" t="str">
        <f aca="false">IF(N(E216)=0,"",I216/E216)</f>
        <v/>
      </c>
      <c r="M216" s="45" t="str">
        <f aca="false">IF(N(I216)=0,"",J216/I216)</f>
        <v/>
      </c>
      <c r="N216" s="45" t="str">
        <f aca="false">IF(N(E216)=0,"",J216/E216)</f>
        <v/>
      </c>
      <c r="O216" s="11"/>
    </row>
    <row r="217" customFormat="false" ht="15" hidden="false" customHeight="false" outlineLevel="0" collapsed="false">
      <c r="A217" s="38"/>
      <c r="B217" s="39" t="str">
        <f aca="false">IF(A217="","",CHOOSE(WEEKDAY(A217,2),"Lun","Mar","Mié","Jue","Vie","Sáb","Dom"))</f>
        <v/>
      </c>
      <c r="C217" s="11"/>
      <c r="D217" s="40"/>
      <c r="E217" s="40"/>
      <c r="F217" s="40"/>
      <c r="G217" s="41"/>
      <c r="H217" s="42"/>
      <c r="I217" s="40"/>
      <c r="J217" s="43"/>
      <c r="K217" s="44" t="str">
        <f aca="false">IF(N(D217)=0,"",E217/D217)</f>
        <v/>
      </c>
      <c r="L217" s="44" t="str">
        <f aca="false">IF(N(E217)=0,"",I217/E217)</f>
        <v/>
      </c>
      <c r="M217" s="45" t="str">
        <f aca="false">IF(N(I217)=0,"",J217/I217)</f>
        <v/>
      </c>
      <c r="N217" s="45" t="str">
        <f aca="false">IF(N(E217)=0,"",J217/E217)</f>
        <v/>
      </c>
      <c r="O217" s="11"/>
    </row>
    <row r="218" customFormat="false" ht="15" hidden="false" customHeight="false" outlineLevel="0" collapsed="false">
      <c r="A218" s="38"/>
      <c r="B218" s="39" t="str">
        <f aca="false">IF(A218="","",CHOOSE(WEEKDAY(A218,2),"Lun","Mar","Mié","Jue","Vie","Sáb","Dom"))</f>
        <v/>
      </c>
      <c r="C218" s="11"/>
      <c r="D218" s="40"/>
      <c r="E218" s="40"/>
      <c r="F218" s="40"/>
      <c r="G218" s="41"/>
      <c r="H218" s="42"/>
      <c r="I218" s="40"/>
      <c r="J218" s="43"/>
      <c r="K218" s="44" t="str">
        <f aca="false">IF(N(D218)=0,"",E218/D218)</f>
        <v/>
      </c>
      <c r="L218" s="44" t="str">
        <f aca="false">IF(N(E218)=0,"",I218/E218)</f>
        <v/>
      </c>
      <c r="M218" s="45" t="str">
        <f aca="false">IF(N(I218)=0,"",J218/I218)</f>
        <v/>
      </c>
      <c r="N218" s="45" t="str">
        <f aca="false">IF(N(E218)=0,"",J218/E218)</f>
        <v/>
      </c>
      <c r="O218" s="11"/>
    </row>
    <row r="219" customFormat="false" ht="15" hidden="false" customHeight="false" outlineLevel="0" collapsed="false">
      <c r="A219" s="38"/>
      <c r="B219" s="39" t="str">
        <f aca="false">IF(A219="","",CHOOSE(WEEKDAY(A219,2),"Lun","Mar","Mié","Jue","Vie","Sáb","Dom"))</f>
        <v/>
      </c>
      <c r="C219" s="11"/>
      <c r="D219" s="40"/>
      <c r="E219" s="40"/>
      <c r="F219" s="40"/>
      <c r="G219" s="41"/>
      <c r="H219" s="42"/>
      <c r="I219" s="40"/>
      <c r="J219" s="43"/>
      <c r="K219" s="44" t="str">
        <f aca="false">IF(N(D219)=0,"",E219/D219)</f>
        <v/>
      </c>
      <c r="L219" s="44" t="str">
        <f aca="false">IF(N(E219)=0,"",I219/E219)</f>
        <v/>
      </c>
      <c r="M219" s="45" t="str">
        <f aca="false">IF(N(I219)=0,"",J219/I219)</f>
        <v/>
      </c>
      <c r="N219" s="45" t="str">
        <f aca="false">IF(N(E219)=0,"",J219/E219)</f>
        <v/>
      </c>
      <c r="O219" s="11"/>
    </row>
    <row r="220" customFormat="false" ht="15" hidden="false" customHeight="false" outlineLevel="0" collapsed="false">
      <c r="A220" s="38"/>
      <c r="B220" s="39" t="str">
        <f aca="false">IF(A220="","",CHOOSE(WEEKDAY(A220,2),"Lun","Mar","Mié","Jue","Vie","Sáb","Dom"))</f>
        <v/>
      </c>
      <c r="C220" s="11"/>
      <c r="D220" s="40"/>
      <c r="E220" s="40"/>
      <c r="F220" s="40"/>
      <c r="G220" s="41"/>
      <c r="H220" s="42"/>
      <c r="I220" s="40"/>
      <c r="J220" s="43"/>
      <c r="K220" s="44" t="str">
        <f aca="false">IF(N(D220)=0,"",E220/D220)</f>
        <v/>
      </c>
      <c r="L220" s="44" t="str">
        <f aca="false">IF(N(E220)=0,"",I220/E220)</f>
        <v/>
      </c>
      <c r="M220" s="45" t="str">
        <f aca="false">IF(N(I220)=0,"",J220/I220)</f>
        <v/>
      </c>
      <c r="N220" s="45" t="str">
        <f aca="false">IF(N(E220)=0,"",J220/E220)</f>
        <v/>
      </c>
      <c r="O220" s="11"/>
    </row>
    <row r="221" customFormat="false" ht="15" hidden="false" customHeight="false" outlineLevel="0" collapsed="false">
      <c r="A221" s="38"/>
      <c r="B221" s="39" t="str">
        <f aca="false">IF(A221="","",CHOOSE(WEEKDAY(A221,2),"Lun","Mar","Mié","Jue","Vie","Sáb","Dom"))</f>
        <v/>
      </c>
      <c r="C221" s="11"/>
      <c r="D221" s="40"/>
      <c r="E221" s="40"/>
      <c r="F221" s="40"/>
      <c r="G221" s="41"/>
      <c r="H221" s="42"/>
      <c r="I221" s="40"/>
      <c r="J221" s="43"/>
      <c r="K221" s="44" t="str">
        <f aca="false">IF(N(D221)=0,"",E221/D221)</f>
        <v/>
      </c>
      <c r="L221" s="44" t="str">
        <f aca="false">IF(N(E221)=0,"",I221/E221)</f>
        <v/>
      </c>
      <c r="M221" s="45" t="str">
        <f aca="false">IF(N(I221)=0,"",J221/I221)</f>
        <v/>
      </c>
      <c r="N221" s="45" t="str">
        <f aca="false">IF(N(E221)=0,"",J221/E221)</f>
        <v/>
      </c>
      <c r="O221" s="11"/>
    </row>
    <row r="222" customFormat="false" ht="15" hidden="false" customHeight="false" outlineLevel="0" collapsed="false">
      <c r="A222" s="38"/>
      <c r="B222" s="39" t="str">
        <f aca="false">IF(A222="","",CHOOSE(WEEKDAY(A222,2),"Lun","Mar","Mié","Jue","Vie","Sáb","Dom"))</f>
        <v/>
      </c>
      <c r="C222" s="11"/>
      <c r="D222" s="40"/>
      <c r="E222" s="40"/>
      <c r="F222" s="40"/>
      <c r="G222" s="41"/>
      <c r="H222" s="42"/>
      <c r="I222" s="40"/>
      <c r="J222" s="43"/>
      <c r="K222" s="44" t="str">
        <f aca="false">IF(N(D222)=0,"",E222/D222)</f>
        <v/>
      </c>
      <c r="L222" s="44" t="str">
        <f aca="false">IF(N(E222)=0,"",I222/E222)</f>
        <v/>
      </c>
      <c r="M222" s="45" t="str">
        <f aca="false">IF(N(I222)=0,"",J222/I222)</f>
        <v/>
      </c>
      <c r="N222" s="45" t="str">
        <f aca="false">IF(N(E222)=0,"",J222/E222)</f>
        <v/>
      </c>
      <c r="O222" s="11"/>
    </row>
    <row r="223" customFormat="false" ht="15" hidden="false" customHeight="false" outlineLevel="0" collapsed="false">
      <c r="A223" s="38"/>
      <c r="B223" s="39" t="str">
        <f aca="false">IF(A223="","",CHOOSE(WEEKDAY(A223,2),"Lun","Mar","Mié","Jue","Vie","Sáb","Dom"))</f>
        <v/>
      </c>
      <c r="C223" s="11"/>
      <c r="D223" s="40"/>
      <c r="E223" s="40"/>
      <c r="F223" s="40"/>
      <c r="G223" s="41"/>
      <c r="H223" s="42"/>
      <c r="I223" s="40"/>
      <c r="J223" s="43"/>
      <c r="K223" s="44" t="str">
        <f aca="false">IF(N(D223)=0,"",E223/D223)</f>
        <v/>
      </c>
      <c r="L223" s="44" t="str">
        <f aca="false">IF(N(E223)=0,"",I223/E223)</f>
        <v/>
      </c>
      <c r="M223" s="45" t="str">
        <f aca="false">IF(N(I223)=0,"",J223/I223)</f>
        <v/>
      </c>
      <c r="N223" s="45" t="str">
        <f aca="false">IF(N(E223)=0,"",J223/E223)</f>
        <v/>
      </c>
      <c r="O223" s="11"/>
    </row>
    <row r="224" customFormat="false" ht="15" hidden="false" customHeight="false" outlineLevel="0" collapsed="false">
      <c r="A224" s="38"/>
      <c r="B224" s="39" t="str">
        <f aca="false">IF(A224="","",CHOOSE(WEEKDAY(A224,2),"Lun","Mar","Mié","Jue","Vie","Sáb","Dom"))</f>
        <v/>
      </c>
      <c r="C224" s="11"/>
      <c r="D224" s="40"/>
      <c r="E224" s="40"/>
      <c r="F224" s="40"/>
      <c r="G224" s="41"/>
      <c r="H224" s="42"/>
      <c r="I224" s="40"/>
      <c r="J224" s="43"/>
      <c r="K224" s="44" t="str">
        <f aca="false">IF(N(D224)=0,"",E224/D224)</f>
        <v/>
      </c>
      <c r="L224" s="44" t="str">
        <f aca="false">IF(N(E224)=0,"",I224/E224)</f>
        <v/>
      </c>
      <c r="M224" s="45" t="str">
        <f aca="false">IF(N(I224)=0,"",J224/I224)</f>
        <v/>
      </c>
      <c r="N224" s="45" t="str">
        <f aca="false">IF(N(E224)=0,"",J224/E224)</f>
        <v/>
      </c>
      <c r="O224" s="11"/>
    </row>
    <row r="225" customFormat="false" ht="15" hidden="false" customHeight="false" outlineLevel="0" collapsed="false">
      <c r="A225" s="38"/>
      <c r="B225" s="39" t="str">
        <f aca="false">IF(A225="","",CHOOSE(WEEKDAY(A225,2),"Lun","Mar","Mié","Jue","Vie","Sáb","Dom"))</f>
        <v/>
      </c>
      <c r="C225" s="11"/>
      <c r="D225" s="40"/>
      <c r="E225" s="40"/>
      <c r="F225" s="40"/>
      <c r="G225" s="41"/>
      <c r="H225" s="42"/>
      <c r="I225" s="40"/>
      <c r="J225" s="43"/>
      <c r="K225" s="44" t="str">
        <f aca="false">IF(N(D225)=0,"",E225/D225)</f>
        <v/>
      </c>
      <c r="L225" s="44" t="str">
        <f aca="false">IF(N(E225)=0,"",I225/E225)</f>
        <v/>
      </c>
      <c r="M225" s="45" t="str">
        <f aca="false">IF(N(I225)=0,"",J225/I225)</f>
        <v/>
      </c>
      <c r="N225" s="45" t="str">
        <f aca="false">IF(N(E225)=0,"",J225/E225)</f>
        <v/>
      </c>
      <c r="O225" s="11"/>
    </row>
    <row r="226" customFormat="false" ht="15" hidden="false" customHeight="false" outlineLevel="0" collapsed="false">
      <c r="A226" s="38"/>
      <c r="B226" s="39" t="str">
        <f aca="false">IF(A226="","",CHOOSE(WEEKDAY(A226,2),"Lun","Mar","Mié","Jue","Vie","Sáb","Dom"))</f>
        <v/>
      </c>
      <c r="C226" s="11"/>
      <c r="D226" s="40"/>
      <c r="E226" s="40"/>
      <c r="F226" s="40"/>
      <c r="G226" s="41"/>
      <c r="H226" s="42"/>
      <c r="I226" s="40"/>
      <c r="J226" s="43"/>
      <c r="K226" s="44" t="str">
        <f aca="false">IF(N(D226)=0,"",E226/D226)</f>
        <v/>
      </c>
      <c r="L226" s="44" t="str">
        <f aca="false">IF(N(E226)=0,"",I226/E226)</f>
        <v/>
      </c>
      <c r="M226" s="45" t="str">
        <f aca="false">IF(N(I226)=0,"",J226/I226)</f>
        <v/>
      </c>
      <c r="N226" s="45" t="str">
        <f aca="false">IF(N(E226)=0,"",J226/E226)</f>
        <v/>
      </c>
      <c r="O226" s="11"/>
    </row>
    <row r="227" customFormat="false" ht="15" hidden="false" customHeight="false" outlineLevel="0" collapsed="false">
      <c r="A227" s="38"/>
      <c r="B227" s="39" t="str">
        <f aca="false">IF(A227="","",CHOOSE(WEEKDAY(A227,2),"Lun","Mar","Mié","Jue","Vie","Sáb","Dom"))</f>
        <v/>
      </c>
      <c r="C227" s="11"/>
      <c r="D227" s="40"/>
      <c r="E227" s="40"/>
      <c r="F227" s="40"/>
      <c r="G227" s="41"/>
      <c r="H227" s="42"/>
      <c r="I227" s="40"/>
      <c r="J227" s="43"/>
      <c r="K227" s="44" t="str">
        <f aca="false">IF(N(D227)=0,"",E227/D227)</f>
        <v/>
      </c>
      <c r="L227" s="44" t="str">
        <f aca="false">IF(N(E227)=0,"",I227/E227)</f>
        <v/>
      </c>
      <c r="M227" s="45" t="str">
        <f aca="false">IF(N(I227)=0,"",J227/I227)</f>
        <v/>
      </c>
      <c r="N227" s="45" t="str">
        <f aca="false">IF(N(E227)=0,"",J227/E227)</f>
        <v/>
      </c>
      <c r="O227" s="11"/>
    </row>
    <row r="228" customFormat="false" ht="15" hidden="false" customHeight="false" outlineLevel="0" collapsed="false">
      <c r="A228" s="38"/>
      <c r="B228" s="39" t="str">
        <f aca="false">IF(A228="","",CHOOSE(WEEKDAY(A228,2),"Lun","Mar","Mié","Jue","Vie","Sáb","Dom"))</f>
        <v/>
      </c>
      <c r="C228" s="11"/>
      <c r="D228" s="40"/>
      <c r="E228" s="40"/>
      <c r="F228" s="40"/>
      <c r="G228" s="41"/>
      <c r="H228" s="42"/>
      <c r="I228" s="40"/>
      <c r="J228" s="43"/>
      <c r="K228" s="44" t="str">
        <f aca="false">IF(N(D228)=0,"",E228/D228)</f>
        <v/>
      </c>
      <c r="L228" s="44" t="str">
        <f aca="false">IF(N(E228)=0,"",I228/E228)</f>
        <v/>
      </c>
      <c r="M228" s="45" t="str">
        <f aca="false">IF(N(I228)=0,"",J228/I228)</f>
        <v/>
      </c>
      <c r="N228" s="45" t="str">
        <f aca="false">IF(N(E228)=0,"",J228/E228)</f>
        <v/>
      </c>
      <c r="O228" s="11"/>
    </row>
    <row r="229" customFormat="false" ht="15" hidden="false" customHeight="false" outlineLevel="0" collapsed="false">
      <c r="A229" s="38"/>
      <c r="B229" s="39" t="str">
        <f aca="false">IF(A229="","",CHOOSE(WEEKDAY(A229,2),"Lun","Mar","Mié","Jue","Vie","Sáb","Dom"))</f>
        <v/>
      </c>
      <c r="C229" s="11"/>
      <c r="D229" s="40"/>
      <c r="E229" s="40"/>
      <c r="F229" s="40"/>
      <c r="G229" s="41"/>
      <c r="H229" s="42"/>
      <c r="I229" s="40"/>
      <c r="J229" s="43"/>
      <c r="K229" s="44" t="str">
        <f aca="false">IF(N(D229)=0,"",E229/D229)</f>
        <v/>
      </c>
      <c r="L229" s="44" t="str">
        <f aca="false">IF(N(E229)=0,"",I229/E229)</f>
        <v/>
      </c>
      <c r="M229" s="45" t="str">
        <f aca="false">IF(N(I229)=0,"",J229/I229)</f>
        <v/>
      </c>
      <c r="N229" s="45" t="str">
        <f aca="false">IF(N(E229)=0,"",J229/E229)</f>
        <v/>
      </c>
      <c r="O229" s="11"/>
    </row>
    <row r="230" customFormat="false" ht="15" hidden="false" customHeight="false" outlineLevel="0" collapsed="false">
      <c r="A230" s="38"/>
      <c r="B230" s="39" t="str">
        <f aca="false">IF(A230="","",CHOOSE(WEEKDAY(A230,2),"Lun","Mar","Mié","Jue","Vie","Sáb","Dom"))</f>
        <v/>
      </c>
      <c r="C230" s="11"/>
      <c r="D230" s="40"/>
      <c r="E230" s="40"/>
      <c r="F230" s="40"/>
      <c r="G230" s="41"/>
      <c r="H230" s="42"/>
      <c r="I230" s="40"/>
      <c r="J230" s="43"/>
      <c r="K230" s="44" t="str">
        <f aca="false">IF(N(D230)=0,"",E230/D230)</f>
        <v/>
      </c>
      <c r="L230" s="44" t="str">
        <f aca="false">IF(N(E230)=0,"",I230/E230)</f>
        <v/>
      </c>
      <c r="M230" s="45" t="str">
        <f aca="false">IF(N(I230)=0,"",J230/I230)</f>
        <v/>
      </c>
      <c r="N230" s="45" t="str">
        <f aca="false">IF(N(E230)=0,"",J230/E230)</f>
        <v/>
      </c>
      <c r="O230" s="11"/>
    </row>
    <row r="231" customFormat="false" ht="15" hidden="false" customHeight="false" outlineLevel="0" collapsed="false">
      <c r="A231" s="38"/>
      <c r="B231" s="39" t="str">
        <f aca="false">IF(A231="","",CHOOSE(WEEKDAY(A231,2),"Lun","Mar","Mié","Jue","Vie","Sáb","Dom"))</f>
        <v/>
      </c>
      <c r="C231" s="11"/>
      <c r="D231" s="40"/>
      <c r="E231" s="40"/>
      <c r="F231" s="40"/>
      <c r="G231" s="41"/>
      <c r="H231" s="42"/>
      <c r="I231" s="40"/>
      <c r="J231" s="43"/>
      <c r="K231" s="44" t="str">
        <f aca="false">IF(N(D231)=0,"",E231/D231)</f>
        <v/>
      </c>
      <c r="L231" s="44" t="str">
        <f aca="false">IF(N(E231)=0,"",I231/E231)</f>
        <v/>
      </c>
      <c r="M231" s="45" t="str">
        <f aca="false">IF(N(I231)=0,"",J231/I231)</f>
        <v/>
      </c>
      <c r="N231" s="45" t="str">
        <f aca="false">IF(N(E231)=0,"",J231/E231)</f>
        <v/>
      </c>
      <c r="O231" s="11"/>
    </row>
    <row r="232" customFormat="false" ht="15" hidden="false" customHeight="false" outlineLevel="0" collapsed="false">
      <c r="A232" s="38"/>
      <c r="B232" s="39" t="str">
        <f aca="false">IF(A232="","",CHOOSE(WEEKDAY(A232,2),"Lun","Mar","Mié","Jue","Vie","Sáb","Dom"))</f>
        <v/>
      </c>
      <c r="C232" s="11"/>
      <c r="D232" s="40"/>
      <c r="E232" s="40"/>
      <c r="F232" s="40"/>
      <c r="G232" s="41"/>
      <c r="H232" s="42"/>
      <c r="I232" s="40"/>
      <c r="J232" s="43"/>
      <c r="K232" s="44" t="str">
        <f aca="false">IF(N(D232)=0,"",E232/D232)</f>
        <v/>
      </c>
      <c r="L232" s="44" t="str">
        <f aca="false">IF(N(E232)=0,"",I232/E232)</f>
        <v/>
      </c>
      <c r="M232" s="45" t="str">
        <f aca="false">IF(N(I232)=0,"",J232/I232)</f>
        <v/>
      </c>
      <c r="N232" s="45" t="str">
        <f aca="false">IF(N(E232)=0,"",J232/E232)</f>
        <v/>
      </c>
      <c r="O232" s="11"/>
    </row>
    <row r="233" customFormat="false" ht="15" hidden="false" customHeight="false" outlineLevel="0" collapsed="false">
      <c r="A233" s="38"/>
      <c r="B233" s="39" t="str">
        <f aca="false">IF(A233="","",CHOOSE(WEEKDAY(A233,2),"Lun","Mar","Mié","Jue","Vie","Sáb","Dom"))</f>
        <v/>
      </c>
      <c r="C233" s="11"/>
      <c r="D233" s="40"/>
      <c r="E233" s="40"/>
      <c r="F233" s="40"/>
      <c r="G233" s="41"/>
      <c r="H233" s="42"/>
      <c r="I233" s="40"/>
      <c r="J233" s="43"/>
      <c r="K233" s="44" t="str">
        <f aca="false">IF(N(D233)=0,"",E233/D233)</f>
        <v/>
      </c>
      <c r="L233" s="44" t="str">
        <f aca="false">IF(N(E233)=0,"",I233/E233)</f>
        <v/>
      </c>
      <c r="M233" s="45" t="str">
        <f aca="false">IF(N(I233)=0,"",J233/I233)</f>
        <v/>
      </c>
      <c r="N233" s="45" t="str">
        <f aca="false">IF(N(E233)=0,"",J233/E233)</f>
        <v/>
      </c>
      <c r="O233" s="11"/>
    </row>
    <row r="234" customFormat="false" ht="15" hidden="false" customHeight="false" outlineLevel="0" collapsed="false">
      <c r="A234" s="38"/>
      <c r="B234" s="39" t="str">
        <f aca="false">IF(A234="","",CHOOSE(WEEKDAY(A234,2),"Lun","Mar","Mié","Jue","Vie","Sáb","Dom"))</f>
        <v/>
      </c>
      <c r="C234" s="11"/>
      <c r="D234" s="40"/>
      <c r="E234" s="40"/>
      <c r="F234" s="40"/>
      <c r="G234" s="41"/>
      <c r="H234" s="42"/>
      <c r="I234" s="40"/>
      <c r="J234" s="43"/>
      <c r="K234" s="44" t="str">
        <f aca="false">IF(N(D234)=0,"",E234/D234)</f>
        <v/>
      </c>
      <c r="L234" s="44" t="str">
        <f aca="false">IF(N(E234)=0,"",I234/E234)</f>
        <v/>
      </c>
      <c r="M234" s="45" t="str">
        <f aca="false">IF(N(I234)=0,"",J234/I234)</f>
        <v/>
      </c>
      <c r="N234" s="45" t="str">
        <f aca="false">IF(N(E234)=0,"",J234/E234)</f>
        <v/>
      </c>
      <c r="O234" s="11"/>
    </row>
    <row r="235" customFormat="false" ht="15" hidden="false" customHeight="false" outlineLevel="0" collapsed="false">
      <c r="A235" s="38"/>
      <c r="B235" s="39" t="str">
        <f aca="false">IF(A235="","",CHOOSE(WEEKDAY(A235,2),"Lun","Mar","Mié","Jue","Vie","Sáb","Dom"))</f>
        <v/>
      </c>
      <c r="C235" s="11"/>
      <c r="D235" s="40"/>
      <c r="E235" s="40"/>
      <c r="F235" s="40"/>
      <c r="G235" s="41"/>
      <c r="H235" s="42"/>
      <c r="I235" s="40"/>
      <c r="J235" s="43"/>
      <c r="K235" s="44" t="str">
        <f aca="false">IF(N(D235)=0,"",E235/D235)</f>
        <v/>
      </c>
      <c r="L235" s="44" t="str">
        <f aca="false">IF(N(E235)=0,"",I235/E235)</f>
        <v/>
      </c>
      <c r="M235" s="45" t="str">
        <f aca="false">IF(N(I235)=0,"",J235/I235)</f>
        <v/>
      </c>
      <c r="N235" s="45" t="str">
        <f aca="false">IF(N(E235)=0,"",J235/E235)</f>
        <v/>
      </c>
      <c r="O235" s="11"/>
    </row>
    <row r="236" customFormat="false" ht="15" hidden="false" customHeight="false" outlineLevel="0" collapsed="false">
      <c r="A236" s="38"/>
      <c r="B236" s="39" t="str">
        <f aca="false">IF(A236="","",CHOOSE(WEEKDAY(A236,2),"Lun","Mar","Mié","Jue","Vie","Sáb","Dom"))</f>
        <v/>
      </c>
      <c r="C236" s="11"/>
      <c r="D236" s="40"/>
      <c r="E236" s="40"/>
      <c r="F236" s="40"/>
      <c r="G236" s="41"/>
      <c r="H236" s="42"/>
      <c r="I236" s="40"/>
      <c r="J236" s="43"/>
      <c r="K236" s="44" t="str">
        <f aca="false">IF(N(D236)=0,"",E236/D236)</f>
        <v/>
      </c>
      <c r="L236" s="44" t="str">
        <f aca="false">IF(N(E236)=0,"",I236/E236)</f>
        <v/>
      </c>
      <c r="M236" s="45" t="str">
        <f aca="false">IF(N(I236)=0,"",J236/I236)</f>
        <v/>
      </c>
      <c r="N236" s="45" t="str">
        <f aca="false">IF(N(E236)=0,"",J236/E236)</f>
        <v/>
      </c>
      <c r="O236" s="11"/>
    </row>
    <row r="237" customFormat="false" ht="15" hidden="false" customHeight="false" outlineLevel="0" collapsed="false">
      <c r="A237" s="38"/>
      <c r="B237" s="39" t="str">
        <f aca="false">IF(A237="","",CHOOSE(WEEKDAY(A237,2),"Lun","Mar","Mié","Jue","Vie","Sáb","Dom"))</f>
        <v/>
      </c>
      <c r="C237" s="11"/>
      <c r="D237" s="40"/>
      <c r="E237" s="40"/>
      <c r="F237" s="40"/>
      <c r="G237" s="41"/>
      <c r="H237" s="42"/>
      <c r="I237" s="40"/>
      <c r="J237" s="43"/>
      <c r="K237" s="44" t="str">
        <f aca="false">IF(N(D237)=0,"",E237/D237)</f>
        <v/>
      </c>
      <c r="L237" s="44" t="str">
        <f aca="false">IF(N(E237)=0,"",I237/E237)</f>
        <v/>
      </c>
      <c r="M237" s="45" t="str">
        <f aca="false">IF(N(I237)=0,"",J237/I237)</f>
        <v/>
      </c>
      <c r="N237" s="45" t="str">
        <f aca="false">IF(N(E237)=0,"",J237/E237)</f>
        <v/>
      </c>
      <c r="O237" s="11"/>
    </row>
    <row r="238" customFormat="false" ht="15" hidden="false" customHeight="false" outlineLevel="0" collapsed="false">
      <c r="A238" s="38"/>
      <c r="B238" s="39" t="str">
        <f aca="false">IF(A238="","",CHOOSE(WEEKDAY(A238,2),"Lun","Mar","Mié","Jue","Vie","Sáb","Dom"))</f>
        <v/>
      </c>
      <c r="C238" s="11"/>
      <c r="D238" s="40"/>
      <c r="E238" s="40"/>
      <c r="F238" s="40"/>
      <c r="G238" s="41"/>
      <c r="H238" s="42"/>
      <c r="I238" s="40"/>
      <c r="J238" s="43"/>
      <c r="K238" s="44" t="str">
        <f aca="false">IF(N(D238)=0,"",E238/D238)</f>
        <v/>
      </c>
      <c r="L238" s="44" t="str">
        <f aca="false">IF(N(E238)=0,"",I238/E238)</f>
        <v/>
      </c>
      <c r="M238" s="45" t="str">
        <f aca="false">IF(N(I238)=0,"",J238/I238)</f>
        <v/>
      </c>
      <c r="N238" s="45" t="str">
        <f aca="false">IF(N(E238)=0,"",J238/E238)</f>
        <v/>
      </c>
      <c r="O238" s="11"/>
    </row>
    <row r="239" customFormat="false" ht="15" hidden="false" customHeight="false" outlineLevel="0" collapsed="false">
      <c r="A239" s="38"/>
      <c r="B239" s="39" t="str">
        <f aca="false">IF(A239="","",CHOOSE(WEEKDAY(A239,2),"Lun","Mar","Mié","Jue","Vie","Sáb","Dom"))</f>
        <v/>
      </c>
      <c r="C239" s="11"/>
      <c r="D239" s="40"/>
      <c r="E239" s="40"/>
      <c r="F239" s="40"/>
      <c r="G239" s="41"/>
      <c r="H239" s="42"/>
      <c r="I239" s="40"/>
      <c r="J239" s="43"/>
      <c r="K239" s="44" t="str">
        <f aca="false">IF(N(D239)=0,"",E239/D239)</f>
        <v/>
      </c>
      <c r="L239" s="44" t="str">
        <f aca="false">IF(N(E239)=0,"",I239/E239)</f>
        <v/>
      </c>
      <c r="M239" s="45" t="str">
        <f aca="false">IF(N(I239)=0,"",J239/I239)</f>
        <v/>
      </c>
      <c r="N239" s="45" t="str">
        <f aca="false">IF(N(E239)=0,"",J239/E239)</f>
        <v/>
      </c>
      <c r="O239" s="11"/>
    </row>
    <row r="240" customFormat="false" ht="15" hidden="false" customHeight="false" outlineLevel="0" collapsed="false">
      <c r="A240" s="38"/>
      <c r="B240" s="39" t="str">
        <f aca="false">IF(A240="","",CHOOSE(WEEKDAY(A240,2),"Lun","Mar","Mié","Jue","Vie","Sáb","Dom"))</f>
        <v/>
      </c>
      <c r="C240" s="11"/>
      <c r="D240" s="40"/>
      <c r="E240" s="40"/>
      <c r="F240" s="40"/>
      <c r="G240" s="41"/>
      <c r="H240" s="42"/>
      <c r="I240" s="40"/>
      <c r="J240" s="43"/>
      <c r="K240" s="44" t="str">
        <f aca="false">IF(N(D240)=0,"",E240/D240)</f>
        <v/>
      </c>
      <c r="L240" s="44" t="str">
        <f aca="false">IF(N(E240)=0,"",I240/E240)</f>
        <v/>
      </c>
      <c r="M240" s="45" t="str">
        <f aca="false">IF(N(I240)=0,"",J240/I240)</f>
        <v/>
      </c>
      <c r="N240" s="45" t="str">
        <f aca="false">IF(N(E240)=0,"",J240/E240)</f>
        <v/>
      </c>
      <c r="O240" s="11"/>
    </row>
    <row r="241" customFormat="false" ht="15" hidden="false" customHeight="false" outlineLevel="0" collapsed="false">
      <c r="A241" s="38"/>
      <c r="B241" s="39" t="str">
        <f aca="false">IF(A241="","",CHOOSE(WEEKDAY(A241,2),"Lun","Mar","Mié","Jue","Vie","Sáb","Dom"))</f>
        <v/>
      </c>
      <c r="C241" s="11"/>
      <c r="D241" s="40"/>
      <c r="E241" s="40"/>
      <c r="F241" s="40"/>
      <c r="G241" s="41"/>
      <c r="H241" s="42"/>
      <c r="I241" s="40"/>
      <c r="J241" s="43"/>
      <c r="K241" s="44" t="str">
        <f aca="false">IF(N(D241)=0,"",E241/D241)</f>
        <v/>
      </c>
      <c r="L241" s="44" t="str">
        <f aca="false">IF(N(E241)=0,"",I241/E241)</f>
        <v/>
      </c>
      <c r="M241" s="45" t="str">
        <f aca="false">IF(N(I241)=0,"",J241/I241)</f>
        <v/>
      </c>
      <c r="N241" s="45" t="str">
        <f aca="false">IF(N(E241)=0,"",J241/E241)</f>
        <v/>
      </c>
      <c r="O241" s="11"/>
    </row>
    <row r="242" customFormat="false" ht="15" hidden="false" customHeight="false" outlineLevel="0" collapsed="false">
      <c r="A242" s="38"/>
      <c r="B242" s="39" t="str">
        <f aca="false">IF(A242="","",CHOOSE(WEEKDAY(A242,2),"Lun","Mar","Mié","Jue","Vie","Sáb","Dom"))</f>
        <v/>
      </c>
      <c r="C242" s="11"/>
      <c r="D242" s="40"/>
      <c r="E242" s="40"/>
      <c r="F242" s="40"/>
      <c r="G242" s="41"/>
      <c r="H242" s="42"/>
      <c r="I242" s="40"/>
      <c r="J242" s="43"/>
      <c r="K242" s="44" t="str">
        <f aca="false">IF(N(D242)=0,"",E242/D242)</f>
        <v/>
      </c>
      <c r="L242" s="44" t="str">
        <f aca="false">IF(N(E242)=0,"",I242/E242)</f>
        <v/>
      </c>
      <c r="M242" s="45" t="str">
        <f aca="false">IF(N(I242)=0,"",J242/I242)</f>
        <v/>
      </c>
      <c r="N242" s="45" t="str">
        <f aca="false">IF(N(E242)=0,"",J242/E242)</f>
        <v/>
      </c>
      <c r="O242" s="11"/>
    </row>
    <row r="243" customFormat="false" ht="15" hidden="false" customHeight="false" outlineLevel="0" collapsed="false">
      <c r="A243" s="38"/>
      <c r="B243" s="39" t="str">
        <f aca="false">IF(A243="","",CHOOSE(WEEKDAY(A243,2),"Lun","Mar","Mié","Jue","Vie","Sáb","Dom"))</f>
        <v/>
      </c>
      <c r="C243" s="11"/>
      <c r="D243" s="40"/>
      <c r="E243" s="40"/>
      <c r="F243" s="40"/>
      <c r="G243" s="41"/>
      <c r="H243" s="42"/>
      <c r="I243" s="40"/>
      <c r="J243" s="43"/>
      <c r="K243" s="44" t="str">
        <f aca="false">IF(N(D243)=0,"",E243/D243)</f>
        <v/>
      </c>
      <c r="L243" s="44" t="str">
        <f aca="false">IF(N(E243)=0,"",I243/E243)</f>
        <v/>
      </c>
      <c r="M243" s="45" t="str">
        <f aca="false">IF(N(I243)=0,"",J243/I243)</f>
        <v/>
      </c>
      <c r="N243" s="45" t="str">
        <f aca="false">IF(N(E243)=0,"",J243/E243)</f>
        <v/>
      </c>
      <c r="O243" s="11"/>
    </row>
    <row r="244" customFormat="false" ht="15" hidden="false" customHeight="false" outlineLevel="0" collapsed="false">
      <c r="A244" s="38"/>
      <c r="B244" s="39" t="str">
        <f aca="false">IF(A244="","",CHOOSE(WEEKDAY(A244,2),"Lun","Mar","Mié","Jue","Vie","Sáb","Dom"))</f>
        <v/>
      </c>
      <c r="C244" s="11"/>
      <c r="D244" s="40"/>
      <c r="E244" s="40"/>
      <c r="F244" s="40"/>
      <c r="G244" s="41"/>
      <c r="H244" s="42"/>
      <c r="I244" s="40"/>
      <c r="J244" s="43"/>
      <c r="K244" s="44" t="str">
        <f aca="false">IF(N(D244)=0,"",E244/D244)</f>
        <v/>
      </c>
      <c r="L244" s="44" t="str">
        <f aca="false">IF(N(E244)=0,"",I244/E244)</f>
        <v/>
      </c>
      <c r="M244" s="45" t="str">
        <f aca="false">IF(N(I244)=0,"",J244/I244)</f>
        <v/>
      </c>
      <c r="N244" s="45" t="str">
        <f aca="false">IF(N(E244)=0,"",J244/E244)</f>
        <v/>
      </c>
      <c r="O244" s="11"/>
    </row>
    <row r="245" customFormat="false" ht="15" hidden="false" customHeight="false" outlineLevel="0" collapsed="false">
      <c r="A245" s="38"/>
      <c r="B245" s="39" t="str">
        <f aca="false">IF(A245="","",CHOOSE(WEEKDAY(A245,2),"Lun","Mar","Mié","Jue","Vie","Sáb","Dom"))</f>
        <v/>
      </c>
      <c r="C245" s="11"/>
      <c r="D245" s="40"/>
      <c r="E245" s="40"/>
      <c r="F245" s="40"/>
      <c r="G245" s="41"/>
      <c r="H245" s="42"/>
      <c r="I245" s="40"/>
      <c r="J245" s="43"/>
      <c r="K245" s="44" t="str">
        <f aca="false">IF(N(D245)=0,"",E245/D245)</f>
        <v/>
      </c>
      <c r="L245" s="44" t="str">
        <f aca="false">IF(N(E245)=0,"",I245/E245)</f>
        <v/>
      </c>
      <c r="M245" s="45" t="str">
        <f aca="false">IF(N(I245)=0,"",J245/I245)</f>
        <v/>
      </c>
      <c r="N245" s="45" t="str">
        <f aca="false">IF(N(E245)=0,"",J245/E245)</f>
        <v/>
      </c>
      <c r="O245" s="11"/>
    </row>
    <row r="246" customFormat="false" ht="15" hidden="false" customHeight="false" outlineLevel="0" collapsed="false">
      <c r="A246" s="38"/>
      <c r="B246" s="39" t="str">
        <f aca="false">IF(A246="","",CHOOSE(WEEKDAY(A246,2),"Lun","Mar","Mié","Jue","Vie","Sáb","Dom"))</f>
        <v/>
      </c>
      <c r="C246" s="11"/>
      <c r="D246" s="40"/>
      <c r="E246" s="40"/>
      <c r="F246" s="40"/>
      <c r="G246" s="41"/>
      <c r="H246" s="42"/>
      <c r="I246" s="40"/>
      <c r="J246" s="43"/>
      <c r="K246" s="44" t="str">
        <f aca="false">IF(N(D246)=0,"",E246/D246)</f>
        <v/>
      </c>
      <c r="L246" s="44" t="str">
        <f aca="false">IF(N(E246)=0,"",I246/E246)</f>
        <v/>
      </c>
      <c r="M246" s="45" t="str">
        <f aca="false">IF(N(I246)=0,"",J246/I246)</f>
        <v/>
      </c>
      <c r="N246" s="45" t="str">
        <f aca="false">IF(N(E246)=0,"",J246/E246)</f>
        <v/>
      </c>
      <c r="O246" s="11"/>
    </row>
    <row r="247" customFormat="false" ht="15" hidden="false" customHeight="false" outlineLevel="0" collapsed="false">
      <c r="A247" s="38"/>
      <c r="B247" s="39" t="str">
        <f aca="false">IF(A247="","",CHOOSE(WEEKDAY(A247,2),"Lun","Mar","Mié","Jue","Vie","Sáb","Dom"))</f>
        <v/>
      </c>
      <c r="C247" s="11"/>
      <c r="D247" s="40"/>
      <c r="E247" s="40"/>
      <c r="F247" s="40"/>
      <c r="G247" s="41"/>
      <c r="H247" s="42"/>
      <c r="I247" s="40"/>
      <c r="J247" s="43"/>
      <c r="K247" s="44" t="str">
        <f aca="false">IF(N(D247)=0,"",E247/D247)</f>
        <v/>
      </c>
      <c r="L247" s="44" t="str">
        <f aca="false">IF(N(E247)=0,"",I247/E247)</f>
        <v/>
      </c>
      <c r="M247" s="45" t="str">
        <f aca="false">IF(N(I247)=0,"",J247/I247)</f>
        <v/>
      </c>
      <c r="N247" s="45" t="str">
        <f aca="false">IF(N(E247)=0,"",J247/E247)</f>
        <v/>
      </c>
      <c r="O247" s="11"/>
    </row>
    <row r="248" customFormat="false" ht="15" hidden="false" customHeight="false" outlineLevel="0" collapsed="false">
      <c r="A248" s="38"/>
      <c r="B248" s="39" t="str">
        <f aca="false">IF(A248="","",CHOOSE(WEEKDAY(A248,2),"Lun","Mar","Mié","Jue","Vie","Sáb","Dom"))</f>
        <v/>
      </c>
      <c r="C248" s="11"/>
      <c r="D248" s="40"/>
      <c r="E248" s="40"/>
      <c r="F248" s="40"/>
      <c r="G248" s="41"/>
      <c r="H248" s="42"/>
      <c r="I248" s="40"/>
      <c r="J248" s="43"/>
      <c r="K248" s="44" t="str">
        <f aca="false">IF(N(D248)=0,"",E248/D248)</f>
        <v/>
      </c>
      <c r="L248" s="44" t="str">
        <f aca="false">IF(N(E248)=0,"",I248/E248)</f>
        <v/>
      </c>
      <c r="M248" s="45" t="str">
        <f aca="false">IF(N(I248)=0,"",J248/I248)</f>
        <v/>
      </c>
      <c r="N248" s="45" t="str">
        <f aca="false">IF(N(E248)=0,"",J248/E248)</f>
        <v/>
      </c>
      <c r="O248" s="11"/>
    </row>
    <row r="249" customFormat="false" ht="15" hidden="false" customHeight="false" outlineLevel="0" collapsed="false">
      <c r="A249" s="38"/>
      <c r="B249" s="39" t="str">
        <f aca="false">IF(A249="","",CHOOSE(WEEKDAY(A249,2),"Lun","Mar","Mié","Jue","Vie","Sáb","Dom"))</f>
        <v/>
      </c>
      <c r="C249" s="11"/>
      <c r="D249" s="40"/>
      <c r="E249" s="40"/>
      <c r="F249" s="40"/>
      <c r="G249" s="41"/>
      <c r="H249" s="42"/>
      <c r="I249" s="40"/>
      <c r="J249" s="43"/>
      <c r="K249" s="44" t="str">
        <f aca="false">IF(N(D249)=0,"",E249/D249)</f>
        <v/>
      </c>
      <c r="L249" s="44" t="str">
        <f aca="false">IF(N(E249)=0,"",I249/E249)</f>
        <v/>
      </c>
      <c r="M249" s="45" t="str">
        <f aca="false">IF(N(I249)=0,"",J249/I249)</f>
        <v/>
      </c>
      <c r="N249" s="45" t="str">
        <f aca="false">IF(N(E249)=0,"",J249/E249)</f>
        <v/>
      </c>
      <c r="O249" s="11"/>
    </row>
    <row r="250" customFormat="false" ht="15" hidden="false" customHeight="false" outlineLevel="0" collapsed="false">
      <c r="A250" s="38"/>
      <c r="B250" s="39" t="str">
        <f aca="false">IF(A250="","",CHOOSE(WEEKDAY(A250,2),"Lun","Mar","Mié","Jue","Vie","Sáb","Dom"))</f>
        <v/>
      </c>
      <c r="C250" s="11"/>
      <c r="D250" s="40"/>
      <c r="E250" s="40"/>
      <c r="F250" s="40"/>
      <c r="G250" s="41"/>
      <c r="H250" s="42"/>
      <c r="I250" s="40"/>
      <c r="J250" s="43"/>
      <c r="K250" s="44" t="str">
        <f aca="false">IF(N(D250)=0,"",E250/D250)</f>
        <v/>
      </c>
      <c r="L250" s="44" t="str">
        <f aca="false">IF(N(E250)=0,"",I250/E250)</f>
        <v/>
      </c>
      <c r="M250" s="45" t="str">
        <f aca="false">IF(N(I250)=0,"",J250/I250)</f>
        <v/>
      </c>
      <c r="N250" s="45" t="str">
        <f aca="false">IF(N(E250)=0,"",J250/E250)</f>
        <v/>
      </c>
      <c r="O250" s="11"/>
    </row>
    <row r="251" customFormat="false" ht="15" hidden="false" customHeight="false" outlineLevel="0" collapsed="false">
      <c r="A251" s="38"/>
      <c r="B251" s="39" t="str">
        <f aca="false">IF(A251="","",CHOOSE(WEEKDAY(A251,2),"Lun","Mar","Mié","Jue","Vie","Sáb","Dom"))</f>
        <v/>
      </c>
      <c r="C251" s="11"/>
      <c r="D251" s="40"/>
      <c r="E251" s="40"/>
      <c r="F251" s="40"/>
      <c r="G251" s="41"/>
      <c r="H251" s="42"/>
      <c r="I251" s="40"/>
      <c r="J251" s="43"/>
      <c r="K251" s="44" t="str">
        <f aca="false">IF(N(D251)=0,"",E251/D251)</f>
        <v/>
      </c>
      <c r="L251" s="44" t="str">
        <f aca="false">IF(N(E251)=0,"",I251/E251)</f>
        <v/>
      </c>
      <c r="M251" s="45" t="str">
        <f aca="false">IF(N(I251)=0,"",J251/I251)</f>
        <v/>
      </c>
      <c r="N251" s="45" t="str">
        <f aca="false">IF(N(E251)=0,"",J251/E251)</f>
        <v/>
      </c>
      <c r="O251" s="11"/>
    </row>
    <row r="252" customFormat="false" ht="15" hidden="false" customHeight="false" outlineLevel="0" collapsed="false">
      <c r="A252" s="38"/>
      <c r="B252" s="39" t="str">
        <f aca="false">IF(A252="","",CHOOSE(WEEKDAY(A252,2),"Lun","Mar","Mié","Jue","Vie","Sáb","Dom"))</f>
        <v/>
      </c>
      <c r="C252" s="11"/>
      <c r="D252" s="40"/>
      <c r="E252" s="40"/>
      <c r="F252" s="40"/>
      <c r="G252" s="41"/>
      <c r="H252" s="42"/>
      <c r="I252" s="40"/>
      <c r="J252" s="43"/>
      <c r="K252" s="44" t="str">
        <f aca="false">IF(N(D252)=0,"",E252/D252)</f>
        <v/>
      </c>
      <c r="L252" s="44" t="str">
        <f aca="false">IF(N(E252)=0,"",I252/E252)</f>
        <v/>
      </c>
      <c r="M252" s="45" t="str">
        <f aca="false">IF(N(I252)=0,"",J252/I252)</f>
        <v/>
      </c>
      <c r="N252" s="45" t="str">
        <f aca="false">IF(N(E252)=0,"",J252/E252)</f>
        <v/>
      </c>
      <c r="O252" s="11"/>
    </row>
    <row r="253" customFormat="false" ht="15" hidden="false" customHeight="false" outlineLevel="0" collapsed="false">
      <c r="A253" s="38"/>
      <c r="B253" s="39" t="str">
        <f aca="false">IF(A253="","",CHOOSE(WEEKDAY(A253,2),"Lun","Mar","Mié","Jue","Vie","Sáb","Dom"))</f>
        <v/>
      </c>
      <c r="C253" s="11"/>
      <c r="D253" s="40"/>
      <c r="E253" s="40"/>
      <c r="F253" s="40"/>
      <c r="G253" s="41"/>
      <c r="H253" s="42"/>
      <c r="I253" s="40"/>
      <c r="J253" s="43"/>
      <c r="K253" s="44" t="str">
        <f aca="false">IF(N(D253)=0,"",E253/D253)</f>
        <v/>
      </c>
      <c r="L253" s="44" t="str">
        <f aca="false">IF(N(E253)=0,"",I253/E253)</f>
        <v/>
      </c>
      <c r="M253" s="45" t="str">
        <f aca="false">IF(N(I253)=0,"",J253/I253)</f>
        <v/>
      </c>
      <c r="N253" s="45" t="str">
        <f aca="false">IF(N(E253)=0,"",J253/E253)</f>
        <v/>
      </c>
      <c r="O253" s="11"/>
    </row>
    <row r="254" customFormat="false" ht="15" hidden="false" customHeight="false" outlineLevel="0" collapsed="false">
      <c r="A254" s="38"/>
      <c r="B254" s="39" t="str">
        <f aca="false">IF(A254="","",CHOOSE(WEEKDAY(A254,2),"Lun","Mar","Mié","Jue","Vie","Sáb","Dom"))</f>
        <v/>
      </c>
      <c r="C254" s="11"/>
      <c r="D254" s="40"/>
      <c r="E254" s="40"/>
      <c r="F254" s="40"/>
      <c r="G254" s="41"/>
      <c r="H254" s="42"/>
      <c r="I254" s="40"/>
      <c r="J254" s="43"/>
      <c r="K254" s="44" t="str">
        <f aca="false">IF(N(D254)=0,"",E254/D254)</f>
        <v/>
      </c>
      <c r="L254" s="44" t="str">
        <f aca="false">IF(N(E254)=0,"",I254/E254)</f>
        <v/>
      </c>
      <c r="M254" s="45" t="str">
        <f aca="false">IF(N(I254)=0,"",J254/I254)</f>
        <v/>
      </c>
      <c r="N254" s="45" t="str">
        <f aca="false">IF(N(E254)=0,"",J254/E254)</f>
        <v/>
      </c>
      <c r="O254" s="11"/>
    </row>
    <row r="255" customFormat="false" ht="15" hidden="false" customHeight="false" outlineLevel="0" collapsed="false">
      <c r="A255" s="38"/>
      <c r="B255" s="39" t="str">
        <f aca="false">IF(A255="","",CHOOSE(WEEKDAY(A255,2),"Lun","Mar","Mié","Jue","Vie","Sáb","Dom"))</f>
        <v/>
      </c>
      <c r="C255" s="11"/>
      <c r="D255" s="40"/>
      <c r="E255" s="40"/>
      <c r="F255" s="40"/>
      <c r="G255" s="41"/>
      <c r="H255" s="42"/>
      <c r="I255" s="40"/>
      <c r="J255" s="43"/>
      <c r="K255" s="44" t="str">
        <f aca="false">IF(N(D255)=0,"",E255/D255)</f>
        <v/>
      </c>
      <c r="L255" s="44" t="str">
        <f aca="false">IF(N(E255)=0,"",I255/E255)</f>
        <v/>
      </c>
      <c r="M255" s="45" t="str">
        <f aca="false">IF(N(I255)=0,"",J255/I255)</f>
        <v/>
      </c>
      <c r="N255" s="45" t="str">
        <f aca="false">IF(N(E255)=0,"",J255/E255)</f>
        <v/>
      </c>
      <c r="O255" s="11"/>
    </row>
    <row r="256" customFormat="false" ht="15" hidden="false" customHeight="false" outlineLevel="0" collapsed="false">
      <c r="A256" s="38"/>
      <c r="B256" s="39" t="str">
        <f aca="false">IF(A256="","",CHOOSE(WEEKDAY(A256,2),"Lun","Mar","Mié","Jue","Vie","Sáb","Dom"))</f>
        <v/>
      </c>
      <c r="C256" s="11"/>
      <c r="D256" s="40"/>
      <c r="E256" s="40"/>
      <c r="F256" s="40"/>
      <c r="G256" s="41"/>
      <c r="H256" s="42"/>
      <c r="I256" s="40"/>
      <c r="J256" s="43"/>
      <c r="K256" s="44" t="str">
        <f aca="false">IF(N(D256)=0,"",E256/D256)</f>
        <v/>
      </c>
      <c r="L256" s="44" t="str">
        <f aca="false">IF(N(E256)=0,"",I256/E256)</f>
        <v/>
      </c>
      <c r="M256" s="45" t="str">
        <f aca="false">IF(N(I256)=0,"",J256/I256)</f>
        <v/>
      </c>
      <c r="N256" s="45" t="str">
        <f aca="false">IF(N(E256)=0,"",J256/E256)</f>
        <v/>
      </c>
      <c r="O256" s="11"/>
    </row>
    <row r="257" customFormat="false" ht="15" hidden="false" customHeight="false" outlineLevel="0" collapsed="false">
      <c r="A257" s="38"/>
      <c r="B257" s="39" t="str">
        <f aca="false">IF(A257="","",CHOOSE(WEEKDAY(A257,2),"Lun","Mar","Mié","Jue","Vie","Sáb","Dom"))</f>
        <v/>
      </c>
      <c r="C257" s="11"/>
      <c r="D257" s="40"/>
      <c r="E257" s="40"/>
      <c r="F257" s="40"/>
      <c r="G257" s="41"/>
      <c r="H257" s="42"/>
      <c r="I257" s="40"/>
      <c r="J257" s="43"/>
      <c r="K257" s="44" t="str">
        <f aca="false">IF(N(D257)=0,"",E257/D257)</f>
        <v/>
      </c>
      <c r="L257" s="44" t="str">
        <f aca="false">IF(N(E257)=0,"",I257/E257)</f>
        <v/>
      </c>
      <c r="M257" s="45" t="str">
        <f aca="false">IF(N(I257)=0,"",J257/I257)</f>
        <v/>
      </c>
      <c r="N257" s="45" t="str">
        <f aca="false">IF(N(E257)=0,"",J257/E257)</f>
        <v/>
      </c>
      <c r="O257" s="11"/>
    </row>
    <row r="258" customFormat="false" ht="15" hidden="false" customHeight="false" outlineLevel="0" collapsed="false">
      <c r="A258" s="38"/>
      <c r="B258" s="39" t="str">
        <f aca="false">IF(A258="","",CHOOSE(WEEKDAY(A258,2),"Lun","Mar","Mié","Jue","Vie","Sáb","Dom"))</f>
        <v/>
      </c>
      <c r="C258" s="11"/>
      <c r="D258" s="40"/>
      <c r="E258" s="40"/>
      <c r="F258" s="40"/>
      <c r="G258" s="41"/>
      <c r="H258" s="42"/>
      <c r="I258" s="40"/>
      <c r="J258" s="43"/>
      <c r="K258" s="44" t="str">
        <f aca="false">IF(N(D258)=0,"",E258/D258)</f>
        <v/>
      </c>
      <c r="L258" s="44" t="str">
        <f aca="false">IF(N(E258)=0,"",I258/E258)</f>
        <v/>
      </c>
      <c r="M258" s="45" t="str">
        <f aca="false">IF(N(I258)=0,"",J258/I258)</f>
        <v/>
      </c>
      <c r="N258" s="45" t="str">
        <f aca="false">IF(N(E258)=0,"",J258/E258)</f>
        <v/>
      </c>
      <c r="O258" s="11"/>
    </row>
    <row r="259" customFormat="false" ht="15" hidden="false" customHeight="false" outlineLevel="0" collapsed="false">
      <c r="A259" s="38"/>
      <c r="B259" s="39" t="str">
        <f aca="false">IF(A259="","",CHOOSE(WEEKDAY(A259,2),"Lun","Mar","Mié","Jue","Vie","Sáb","Dom"))</f>
        <v/>
      </c>
      <c r="C259" s="11"/>
      <c r="D259" s="40"/>
      <c r="E259" s="40"/>
      <c r="F259" s="40"/>
      <c r="G259" s="41"/>
      <c r="H259" s="42"/>
      <c r="I259" s="40"/>
      <c r="J259" s="43"/>
      <c r="K259" s="44" t="str">
        <f aca="false">IF(N(D259)=0,"",E259/D259)</f>
        <v/>
      </c>
      <c r="L259" s="44" t="str">
        <f aca="false">IF(N(E259)=0,"",I259/E259)</f>
        <v/>
      </c>
      <c r="M259" s="45" t="str">
        <f aca="false">IF(N(I259)=0,"",J259/I259)</f>
        <v/>
      </c>
      <c r="N259" s="45" t="str">
        <f aca="false">IF(N(E259)=0,"",J259/E259)</f>
        <v/>
      </c>
      <c r="O259" s="11"/>
    </row>
    <row r="260" customFormat="false" ht="15" hidden="false" customHeight="false" outlineLevel="0" collapsed="false">
      <c r="A260" s="38"/>
      <c r="B260" s="39" t="str">
        <f aca="false">IF(A260="","",CHOOSE(WEEKDAY(A260,2),"Lun","Mar","Mié","Jue","Vie","Sáb","Dom"))</f>
        <v/>
      </c>
      <c r="C260" s="11"/>
      <c r="D260" s="40"/>
      <c r="E260" s="40"/>
      <c r="F260" s="40"/>
      <c r="G260" s="41"/>
      <c r="H260" s="42"/>
      <c r="I260" s="40"/>
      <c r="J260" s="43"/>
      <c r="K260" s="44" t="str">
        <f aca="false">IF(N(D260)=0,"",E260/D260)</f>
        <v/>
      </c>
      <c r="L260" s="44" t="str">
        <f aca="false">IF(N(E260)=0,"",I260/E260)</f>
        <v/>
      </c>
      <c r="M260" s="45" t="str">
        <f aca="false">IF(N(I260)=0,"",J260/I260)</f>
        <v/>
      </c>
      <c r="N260" s="45" t="str">
        <f aca="false">IF(N(E260)=0,"",J260/E260)</f>
        <v/>
      </c>
      <c r="O260" s="11"/>
    </row>
    <row r="261" customFormat="false" ht="15" hidden="false" customHeight="false" outlineLevel="0" collapsed="false">
      <c r="A261" s="38"/>
      <c r="B261" s="39" t="str">
        <f aca="false">IF(A261="","",CHOOSE(WEEKDAY(A261,2),"Lun","Mar","Mié","Jue","Vie","Sáb","Dom"))</f>
        <v/>
      </c>
      <c r="C261" s="11"/>
      <c r="D261" s="40"/>
      <c r="E261" s="40"/>
      <c r="F261" s="40"/>
      <c r="G261" s="41"/>
      <c r="H261" s="42"/>
      <c r="I261" s="40"/>
      <c r="J261" s="43"/>
      <c r="K261" s="44" t="str">
        <f aca="false">IF(N(D261)=0,"",E261/D261)</f>
        <v/>
      </c>
      <c r="L261" s="44" t="str">
        <f aca="false">IF(N(E261)=0,"",I261/E261)</f>
        <v/>
      </c>
      <c r="M261" s="45" t="str">
        <f aca="false">IF(N(I261)=0,"",J261/I261)</f>
        <v/>
      </c>
      <c r="N261" s="45" t="str">
        <f aca="false">IF(N(E261)=0,"",J261/E261)</f>
        <v/>
      </c>
      <c r="O261" s="11"/>
    </row>
    <row r="262" customFormat="false" ht="15" hidden="false" customHeight="false" outlineLevel="0" collapsed="false">
      <c r="A262" s="38"/>
      <c r="B262" s="39" t="str">
        <f aca="false">IF(A262="","",CHOOSE(WEEKDAY(A262,2),"Lun","Mar","Mié","Jue","Vie","Sáb","Dom"))</f>
        <v/>
      </c>
      <c r="C262" s="11"/>
      <c r="D262" s="40"/>
      <c r="E262" s="40"/>
      <c r="F262" s="40"/>
      <c r="G262" s="41"/>
      <c r="H262" s="42"/>
      <c r="I262" s="40"/>
      <c r="J262" s="43"/>
      <c r="K262" s="44" t="str">
        <f aca="false">IF(N(D262)=0,"",E262/D262)</f>
        <v/>
      </c>
      <c r="L262" s="44" t="str">
        <f aca="false">IF(N(E262)=0,"",I262/E262)</f>
        <v/>
      </c>
      <c r="M262" s="45" t="str">
        <f aca="false">IF(N(I262)=0,"",J262/I262)</f>
        <v/>
      </c>
      <c r="N262" s="45" t="str">
        <f aca="false">IF(N(E262)=0,"",J262/E262)</f>
        <v/>
      </c>
      <c r="O262" s="11"/>
    </row>
    <row r="263" customFormat="false" ht="15" hidden="false" customHeight="false" outlineLevel="0" collapsed="false">
      <c r="A263" s="38"/>
      <c r="B263" s="39" t="str">
        <f aca="false">IF(A263="","",CHOOSE(WEEKDAY(A263,2),"Lun","Mar","Mié","Jue","Vie","Sáb","Dom"))</f>
        <v/>
      </c>
      <c r="C263" s="11"/>
      <c r="D263" s="40"/>
      <c r="E263" s="40"/>
      <c r="F263" s="40"/>
      <c r="G263" s="41"/>
      <c r="H263" s="42"/>
      <c r="I263" s="40"/>
      <c r="J263" s="43"/>
      <c r="K263" s="44" t="str">
        <f aca="false">IF(N(D263)=0,"",E263/D263)</f>
        <v/>
      </c>
      <c r="L263" s="44" t="str">
        <f aca="false">IF(N(E263)=0,"",I263/E263)</f>
        <v/>
      </c>
      <c r="M263" s="45" t="str">
        <f aca="false">IF(N(I263)=0,"",J263/I263)</f>
        <v/>
      </c>
      <c r="N263" s="45" t="str">
        <f aca="false">IF(N(E263)=0,"",J263/E263)</f>
        <v/>
      </c>
      <c r="O263" s="11"/>
    </row>
    <row r="264" customFormat="false" ht="15" hidden="false" customHeight="false" outlineLevel="0" collapsed="false">
      <c r="A264" s="38"/>
      <c r="B264" s="39" t="str">
        <f aca="false">IF(A264="","",CHOOSE(WEEKDAY(A264,2),"Lun","Mar","Mié","Jue","Vie","Sáb","Dom"))</f>
        <v/>
      </c>
      <c r="C264" s="11"/>
      <c r="D264" s="40"/>
      <c r="E264" s="40"/>
      <c r="F264" s="40"/>
      <c r="G264" s="41"/>
      <c r="H264" s="42"/>
      <c r="I264" s="40"/>
      <c r="J264" s="43"/>
      <c r="K264" s="44" t="str">
        <f aca="false">IF(N(D264)=0,"",E264/D264)</f>
        <v/>
      </c>
      <c r="L264" s="44" t="str">
        <f aca="false">IF(N(E264)=0,"",I264/E264)</f>
        <v/>
      </c>
      <c r="M264" s="45" t="str">
        <f aca="false">IF(N(I264)=0,"",J264/I264)</f>
        <v/>
      </c>
      <c r="N264" s="45" t="str">
        <f aca="false">IF(N(E264)=0,"",J264/E264)</f>
        <v/>
      </c>
      <c r="O264" s="11"/>
    </row>
    <row r="265" customFormat="false" ht="15" hidden="false" customHeight="false" outlineLevel="0" collapsed="false">
      <c r="A265" s="38"/>
      <c r="B265" s="39" t="str">
        <f aca="false">IF(A265="","",CHOOSE(WEEKDAY(A265,2),"Lun","Mar","Mié","Jue","Vie","Sáb","Dom"))</f>
        <v/>
      </c>
      <c r="C265" s="11"/>
      <c r="D265" s="40"/>
      <c r="E265" s="40"/>
      <c r="F265" s="40"/>
      <c r="G265" s="41"/>
      <c r="H265" s="42"/>
      <c r="I265" s="40"/>
      <c r="J265" s="43"/>
      <c r="K265" s="44" t="str">
        <f aca="false">IF(N(D265)=0,"",E265/D265)</f>
        <v/>
      </c>
      <c r="L265" s="44" t="str">
        <f aca="false">IF(N(E265)=0,"",I265/E265)</f>
        <v/>
      </c>
      <c r="M265" s="45" t="str">
        <f aca="false">IF(N(I265)=0,"",J265/I265)</f>
        <v/>
      </c>
      <c r="N265" s="45" t="str">
        <f aca="false">IF(N(E265)=0,"",J265/E265)</f>
        <v/>
      </c>
      <c r="O265" s="11"/>
    </row>
    <row r="266" customFormat="false" ht="15" hidden="false" customHeight="false" outlineLevel="0" collapsed="false">
      <c r="A266" s="38"/>
      <c r="B266" s="39" t="str">
        <f aca="false">IF(A266="","",CHOOSE(WEEKDAY(A266,2),"Lun","Mar","Mié","Jue","Vie","Sáb","Dom"))</f>
        <v/>
      </c>
      <c r="C266" s="11"/>
      <c r="D266" s="40"/>
      <c r="E266" s="40"/>
      <c r="F266" s="40"/>
      <c r="G266" s="41"/>
      <c r="H266" s="42"/>
      <c r="I266" s="40"/>
      <c r="J266" s="43"/>
      <c r="K266" s="44" t="str">
        <f aca="false">IF(N(D266)=0,"",E266/D266)</f>
        <v/>
      </c>
      <c r="L266" s="44" t="str">
        <f aca="false">IF(N(E266)=0,"",I266/E266)</f>
        <v/>
      </c>
      <c r="M266" s="45" t="str">
        <f aca="false">IF(N(I266)=0,"",J266/I266)</f>
        <v/>
      </c>
      <c r="N266" s="45" t="str">
        <f aca="false">IF(N(E266)=0,"",J266/E266)</f>
        <v/>
      </c>
      <c r="O266" s="11"/>
    </row>
    <row r="267" customFormat="false" ht="15" hidden="false" customHeight="false" outlineLevel="0" collapsed="false">
      <c r="A267" s="38"/>
      <c r="B267" s="39" t="str">
        <f aca="false">IF(A267="","",CHOOSE(WEEKDAY(A267,2),"Lun","Mar","Mié","Jue","Vie","Sáb","Dom"))</f>
        <v/>
      </c>
      <c r="C267" s="11"/>
      <c r="D267" s="40"/>
      <c r="E267" s="40"/>
      <c r="F267" s="40"/>
      <c r="G267" s="41"/>
      <c r="H267" s="42"/>
      <c r="I267" s="40"/>
      <c r="J267" s="43"/>
      <c r="K267" s="44" t="str">
        <f aca="false">IF(N(D267)=0,"",E267/D267)</f>
        <v/>
      </c>
      <c r="L267" s="44" t="str">
        <f aca="false">IF(N(E267)=0,"",I267/E267)</f>
        <v/>
      </c>
      <c r="M267" s="45" t="str">
        <f aca="false">IF(N(I267)=0,"",J267/I267)</f>
        <v/>
      </c>
      <c r="N267" s="45" t="str">
        <f aca="false">IF(N(E267)=0,"",J267/E267)</f>
        <v/>
      </c>
      <c r="O267" s="11"/>
    </row>
    <row r="268" customFormat="false" ht="15" hidden="false" customHeight="false" outlineLevel="0" collapsed="false">
      <c r="A268" s="38"/>
      <c r="B268" s="39" t="str">
        <f aca="false">IF(A268="","",CHOOSE(WEEKDAY(A268,2),"Lun","Mar","Mié","Jue","Vie","Sáb","Dom"))</f>
        <v/>
      </c>
      <c r="C268" s="11"/>
      <c r="D268" s="40"/>
      <c r="E268" s="40"/>
      <c r="F268" s="40"/>
      <c r="G268" s="41"/>
      <c r="H268" s="42"/>
      <c r="I268" s="40"/>
      <c r="J268" s="43"/>
      <c r="K268" s="44" t="str">
        <f aca="false">IF(N(D268)=0,"",E268/D268)</f>
        <v/>
      </c>
      <c r="L268" s="44" t="str">
        <f aca="false">IF(N(E268)=0,"",I268/E268)</f>
        <v/>
      </c>
      <c r="M268" s="45" t="str">
        <f aca="false">IF(N(I268)=0,"",J268/I268)</f>
        <v/>
      </c>
      <c r="N268" s="45" t="str">
        <f aca="false">IF(N(E268)=0,"",J268/E268)</f>
        <v/>
      </c>
      <c r="O268" s="11"/>
    </row>
    <row r="269" customFormat="false" ht="15" hidden="false" customHeight="false" outlineLevel="0" collapsed="false">
      <c r="A269" s="38"/>
      <c r="B269" s="39" t="str">
        <f aca="false">IF(A269="","",CHOOSE(WEEKDAY(A269,2),"Lun","Mar","Mié","Jue","Vie","Sáb","Dom"))</f>
        <v/>
      </c>
      <c r="C269" s="11"/>
      <c r="D269" s="40"/>
      <c r="E269" s="40"/>
      <c r="F269" s="40"/>
      <c r="G269" s="41"/>
      <c r="H269" s="42"/>
      <c r="I269" s="40"/>
      <c r="J269" s="43"/>
      <c r="K269" s="44" t="str">
        <f aca="false">IF(N(D269)=0,"",E269/D269)</f>
        <v/>
      </c>
      <c r="L269" s="44" t="str">
        <f aca="false">IF(N(E269)=0,"",I269/E269)</f>
        <v/>
      </c>
      <c r="M269" s="45" t="str">
        <f aca="false">IF(N(I269)=0,"",J269/I269)</f>
        <v/>
      </c>
      <c r="N269" s="45" t="str">
        <f aca="false">IF(N(E269)=0,"",J269/E269)</f>
        <v/>
      </c>
      <c r="O269" s="11"/>
    </row>
    <row r="270" customFormat="false" ht="15" hidden="false" customHeight="false" outlineLevel="0" collapsed="false">
      <c r="A270" s="38"/>
      <c r="B270" s="39" t="str">
        <f aca="false">IF(A270="","",CHOOSE(WEEKDAY(A270,2),"Lun","Mar","Mié","Jue","Vie","Sáb","Dom"))</f>
        <v/>
      </c>
      <c r="C270" s="11"/>
      <c r="D270" s="40"/>
      <c r="E270" s="40"/>
      <c r="F270" s="40"/>
      <c r="G270" s="41"/>
      <c r="H270" s="42"/>
      <c r="I270" s="40"/>
      <c r="J270" s="43"/>
      <c r="K270" s="44" t="str">
        <f aca="false">IF(N(D270)=0,"",E270/D270)</f>
        <v/>
      </c>
      <c r="L270" s="44" t="str">
        <f aca="false">IF(N(E270)=0,"",I270/E270)</f>
        <v/>
      </c>
      <c r="M270" s="45" t="str">
        <f aca="false">IF(N(I270)=0,"",J270/I270)</f>
        <v/>
      </c>
      <c r="N270" s="45" t="str">
        <f aca="false">IF(N(E270)=0,"",J270/E270)</f>
        <v/>
      </c>
      <c r="O270" s="11"/>
    </row>
    <row r="271" customFormat="false" ht="15" hidden="false" customHeight="false" outlineLevel="0" collapsed="false">
      <c r="A271" s="38"/>
      <c r="B271" s="39" t="str">
        <f aca="false">IF(A271="","",CHOOSE(WEEKDAY(A271,2),"Lun","Mar","Mié","Jue","Vie","Sáb","Dom"))</f>
        <v/>
      </c>
      <c r="C271" s="11"/>
      <c r="D271" s="40"/>
      <c r="E271" s="40"/>
      <c r="F271" s="40"/>
      <c r="G271" s="41"/>
      <c r="H271" s="42"/>
      <c r="I271" s="40"/>
      <c r="J271" s="43"/>
      <c r="K271" s="44" t="str">
        <f aca="false">IF(N(D271)=0,"",E271/D271)</f>
        <v/>
      </c>
      <c r="L271" s="44" t="str">
        <f aca="false">IF(N(E271)=0,"",I271/E271)</f>
        <v/>
      </c>
      <c r="M271" s="45" t="str">
        <f aca="false">IF(N(I271)=0,"",J271/I271)</f>
        <v/>
      </c>
      <c r="N271" s="45" t="str">
        <f aca="false">IF(N(E271)=0,"",J271/E271)</f>
        <v/>
      </c>
      <c r="O271" s="11"/>
    </row>
    <row r="272" customFormat="false" ht="15" hidden="false" customHeight="false" outlineLevel="0" collapsed="false">
      <c r="A272" s="38"/>
      <c r="B272" s="39" t="str">
        <f aca="false">IF(A272="","",CHOOSE(WEEKDAY(A272,2),"Lun","Mar","Mié","Jue","Vie","Sáb","Dom"))</f>
        <v/>
      </c>
      <c r="C272" s="11"/>
      <c r="D272" s="40"/>
      <c r="E272" s="40"/>
      <c r="F272" s="40"/>
      <c r="G272" s="41"/>
      <c r="H272" s="42"/>
      <c r="I272" s="40"/>
      <c r="J272" s="43"/>
      <c r="K272" s="44" t="str">
        <f aca="false">IF(N(D272)=0,"",E272/D272)</f>
        <v/>
      </c>
      <c r="L272" s="44" t="str">
        <f aca="false">IF(N(E272)=0,"",I272/E272)</f>
        <v/>
      </c>
      <c r="M272" s="45" t="str">
        <f aca="false">IF(N(I272)=0,"",J272/I272)</f>
        <v/>
      </c>
      <c r="N272" s="45" t="str">
        <f aca="false">IF(N(E272)=0,"",J272/E272)</f>
        <v/>
      </c>
      <c r="O272" s="11"/>
    </row>
    <row r="273" customFormat="false" ht="15" hidden="false" customHeight="false" outlineLevel="0" collapsed="false">
      <c r="A273" s="38"/>
      <c r="B273" s="39" t="str">
        <f aca="false">IF(A273="","",CHOOSE(WEEKDAY(A273,2),"Lun","Mar","Mié","Jue","Vie","Sáb","Dom"))</f>
        <v/>
      </c>
      <c r="C273" s="11"/>
      <c r="D273" s="40"/>
      <c r="E273" s="40"/>
      <c r="F273" s="40"/>
      <c r="G273" s="41"/>
      <c r="H273" s="42"/>
      <c r="I273" s="40"/>
      <c r="J273" s="43"/>
      <c r="K273" s="44" t="str">
        <f aca="false">IF(N(D273)=0,"",E273/D273)</f>
        <v/>
      </c>
      <c r="L273" s="44" t="str">
        <f aca="false">IF(N(E273)=0,"",I273/E273)</f>
        <v/>
      </c>
      <c r="M273" s="45" t="str">
        <f aca="false">IF(N(I273)=0,"",J273/I273)</f>
        <v/>
      </c>
      <c r="N273" s="45" t="str">
        <f aca="false">IF(N(E273)=0,"",J273/E273)</f>
        <v/>
      </c>
      <c r="O273" s="11"/>
    </row>
    <row r="274" customFormat="false" ht="15" hidden="false" customHeight="false" outlineLevel="0" collapsed="false">
      <c r="A274" s="38"/>
      <c r="B274" s="39" t="str">
        <f aca="false">IF(A274="","",CHOOSE(WEEKDAY(A274,2),"Lun","Mar","Mié","Jue","Vie","Sáb","Dom"))</f>
        <v/>
      </c>
      <c r="C274" s="11"/>
      <c r="D274" s="40"/>
      <c r="E274" s="40"/>
      <c r="F274" s="40"/>
      <c r="G274" s="41"/>
      <c r="H274" s="42"/>
      <c r="I274" s="40"/>
      <c r="J274" s="43"/>
      <c r="K274" s="44" t="str">
        <f aca="false">IF(N(D274)=0,"",E274/D274)</f>
        <v/>
      </c>
      <c r="L274" s="44" t="str">
        <f aca="false">IF(N(E274)=0,"",I274/E274)</f>
        <v/>
      </c>
      <c r="M274" s="45" t="str">
        <f aca="false">IF(N(I274)=0,"",J274/I274)</f>
        <v/>
      </c>
      <c r="N274" s="45" t="str">
        <f aca="false">IF(N(E274)=0,"",J274/E274)</f>
        <v/>
      </c>
      <c r="O274" s="11"/>
    </row>
    <row r="275" customFormat="false" ht="15" hidden="false" customHeight="false" outlineLevel="0" collapsed="false">
      <c r="A275" s="38"/>
      <c r="B275" s="39" t="str">
        <f aca="false">IF(A275="","",CHOOSE(WEEKDAY(A275,2),"Lun","Mar","Mié","Jue","Vie","Sáb","Dom"))</f>
        <v/>
      </c>
      <c r="C275" s="11"/>
      <c r="D275" s="40"/>
      <c r="E275" s="40"/>
      <c r="F275" s="40"/>
      <c r="G275" s="41"/>
      <c r="H275" s="42"/>
      <c r="I275" s="40"/>
      <c r="J275" s="43"/>
      <c r="K275" s="44" t="str">
        <f aca="false">IF(N(D275)=0,"",E275/D275)</f>
        <v/>
      </c>
      <c r="L275" s="44" t="str">
        <f aca="false">IF(N(E275)=0,"",I275/E275)</f>
        <v/>
      </c>
      <c r="M275" s="45" t="str">
        <f aca="false">IF(N(I275)=0,"",J275/I275)</f>
        <v/>
      </c>
      <c r="N275" s="45" t="str">
        <f aca="false">IF(N(E275)=0,"",J275/E275)</f>
        <v/>
      </c>
      <c r="O275" s="11"/>
    </row>
    <row r="276" customFormat="false" ht="15" hidden="false" customHeight="false" outlineLevel="0" collapsed="false">
      <c r="A276" s="38"/>
      <c r="B276" s="39" t="str">
        <f aca="false">IF(A276="","",CHOOSE(WEEKDAY(A276,2),"Lun","Mar","Mié","Jue","Vie","Sáb","Dom"))</f>
        <v/>
      </c>
      <c r="C276" s="11"/>
      <c r="D276" s="40"/>
      <c r="E276" s="40"/>
      <c r="F276" s="40"/>
      <c r="G276" s="41"/>
      <c r="H276" s="42"/>
      <c r="I276" s="40"/>
      <c r="J276" s="43"/>
      <c r="K276" s="44" t="str">
        <f aca="false">IF(N(D276)=0,"",E276/D276)</f>
        <v/>
      </c>
      <c r="L276" s="44" t="str">
        <f aca="false">IF(N(E276)=0,"",I276/E276)</f>
        <v/>
      </c>
      <c r="M276" s="45" t="str">
        <f aca="false">IF(N(I276)=0,"",J276/I276)</f>
        <v/>
      </c>
      <c r="N276" s="45" t="str">
        <f aca="false">IF(N(E276)=0,"",J276/E276)</f>
        <v/>
      </c>
      <c r="O276" s="11"/>
    </row>
    <row r="277" customFormat="false" ht="15" hidden="false" customHeight="false" outlineLevel="0" collapsed="false">
      <c r="A277" s="38"/>
      <c r="B277" s="39" t="str">
        <f aca="false">IF(A277="","",CHOOSE(WEEKDAY(A277,2),"Lun","Mar","Mié","Jue","Vie","Sáb","Dom"))</f>
        <v/>
      </c>
      <c r="C277" s="11"/>
      <c r="D277" s="40"/>
      <c r="E277" s="40"/>
      <c r="F277" s="40"/>
      <c r="G277" s="41"/>
      <c r="H277" s="42"/>
      <c r="I277" s="40"/>
      <c r="J277" s="43"/>
      <c r="K277" s="44" t="str">
        <f aca="false">IF(N(D277)=0,"",E277/D277)</f>
        <v/>
      </c>
      <c r="L277" s="44" t="str">
        <f aca="false">IF(N(E277)=0,"",I277/E277)</f>
        <v/>
      </c>
      <c r="M277" s="45" t="str">
        <f aca="false">IF(N(I277)=0,"",J277/I277)</f>
        <v/>
      </c>
      <c r="N277" s="45" t="str">
        <f aca="false">IF(N(E277)=0,"",J277/E277)</f>
        <v/>
      </c>
      <c r="O277" s="11"/>
    </row>
    <row r="278" customFormat="false" ht="15" hidden="false" customHeight="false" outlineLevel="0" collapsed="false">
      <c r="A278" s="38"/>
      <c r="B278" s="39" t="str">
        <f aca="false">IF(A278="","",CHOOSE(WEEKDAY(A278,2),"Lun","Mar","Mié","Jue","Vie","Sáb","Dom"))</f>
        <v/>
      </c>
      <c r="C278" s="11"/>
      <c r="D278" s="40"/>
      <c r="E278" s="40"/>
      <c r="F278" s="40"/>
      <c r="G278" s="41"/>
      <c r="H278" s="42"/>
      <c r="I278" s="40"/>
      <c r="J278" s="43"/>
      <c r="K278" s="44" t="str">
        <f aca="false">IF(N(D278)=0,"",E278/D278)</f>
        <v/>
      </c>
      <c r="L278" s="44" t="str">
        <f aca="false">IF(N(E278)=0,"",I278/E278)</f>
        <v/>
      </c>
      <c r="M278" s="45" t="str">
        <f aca="false">IF(N(I278)=0,"",J278/I278)</f>
        <v/>
      </c>
      <c r="N278" s="45" t="str">
        <f aca="false">IF(N(E278)=0,"",J278/E278)</f>
        <v/>
      </c>
      <c r="O278" s="11"/>
    </row>
    <row r="279" customFormat="false" ht="15" hidden="false" customHeight="false" outlineLevel="0" collapsed="false">
      <c r="A279" s="38"/>
      <c r="B279" s="39" t="str">
        <f aca="false">IF(A279="","",CHOOSE(WEEKDAY(A279,2),"Lun","Mar","Mié","Jue","Vie","Sáb","Dom"))</f>
        <v/>
      </c>
      <c r="C279" s="11"/>
      <c r="D279" s="40"/>
      <c r="E279" s="40"/>
      <c r="F279" s="40"/>
      <c r="G279" s="41"/>
      <c r="H279" s="42"/>
      <c r="I279" s="40"/>
      <c r="J279" s="43"/>
      <c r="K279" s="44" t="str">
        <f aca="false">IF(N(D279)=0,"",E279/D279)</f>
        <v/>
      </c>
      <c r="L279" s="44" t="str">
        <f aca="false">IF(N(E279)=0,"",I279/E279)</f>
        <v/>
      </c>
      <c r="M279" s="45" t="str">
        <f aca="false">IF(N(I279)=0,"",J279/I279)</f>
        <v/>
      </c>
      <c r="N279" s="45" t="str">
        <f aca="false">IF(N(E279)=0,"",J279/E279)</f>
        <v/>
      </c>
      <c r="O279" s="11"/>
    </row>
    <row r="280" customFormat="false" ht="15" hidden="false" customHeight="false" outlineLevel="0" collapsed="false">
      <c r="A280" s="38"/>
      <c r="B280" s="39" t="str">
        <f aca="false">IF(A280="","",CHOOSE(WEEKDAY(A280,2),"Lun","Mar","Mié","Jue","Vie","Sáb","Dom"))</f>
        <v/>
      </c>
      <c r="C280" s="11"/>
      <c r="D280" s="40"/>
      <c r="E280" s="40"/>
      <c r="F280" s="40"/>
      <c r="G280" s="41"/>
      <c r="H280" s="42"/>
      <c r="I280" s="40"/>
      <c r="J280" s="43"/>
      <c r="K280" s="44" t="str">
        <f aca="false">IF(N(D280)=0,"",E280/D280)</f>
        <v/>
      </c>
      <c r="L280" s="44" t="str">
        <f aca="false">IF(N(E280)=0,"",I280/E280)</f>
        <v/>
      </c>
      <c r="M280" s="45" t="str">
        <f aca="false">IF(N(I280)=0,"",J280/I280)</f>
        <v/>
      </c>
      <c r="N280" s="45" t="str">
        <f aca="false">IF(N(E280)=0,"",J280/E280)</f>
        <v/>
      </c>
      <c r="O280" s="11"/>
    </row>
    <row r="281" customFormat="false" ht="15" hidden="false" customHeight="false" outlineLevel="0" collapsed="false">
      <c r="A281" s="38"/>
      <c r="B281" s="39" t="str">
        <f aca="false">IF(A281="","",CHOOSE(WEEKDAY(A281,2),"Lun","Mar","Mié","Jue","Vie","Sáb","Dom"))</f>
        <v/>
      </c>
      <c r="C281" s="11"/>
      <c r="D281" s="40"/>
      <c r="E281" s="40"/>
      <c r="F281" s="40"/>
      <c r="G281" s="41"/>
      <c r="H281" s="42"/>
      <c r="I281" s="40"/>
      <c r="J281" s="43"/>
      <c r="K281" s="44" t="str">
        <f aca="false">IF(N(D281)=0,"",E281/D281)</f>
        <v/>
      </c>
      <c r="L281" s="44" t="str">
        <f aca="false">IF(N(E281)=0,"",I281/E281)</f>
        <v/>
      </c>
      <c r="M281" s="45" t="str">
        <f aca="false">IF(N(I281)=0,"",J281/I281)</f>
        <v/>
      </c>
      <c r="N281" s="45" t="str">
        <f aca="false">IF(N(E281)=0,"",J281/E281)</f>
        <v/>
      </c>
      <c r="O281" s="11"/>
    </row>
    <row r="282" customFormat="false" ht="15" hidden="false" customHeight="false" outlineLevel="0" collapsed="false">
      <c r="A282" s="38"/>
      <c r="B282" s="39" t="str">
        <f aca="false">IF(A282="","",CHOOSE(WEEKDAY(A282,2),"Lun","Mar","Mié","Jue","Vie","Sáb","Dom"))</f>
        <v/>
      </c>
      <c r="C282" s="11"/>
      <c r="D282" s="40"/>
      <c r="E282" s="40"/>
      <c r="F282" s="40"/>
      <c r="G282" s="41"/>
      <c r="H282" s="42"/>
      <c r="I282" s="40"/>
      <c r="J282" s="43"/>
      <c r="K282" s="44" t="str">
        <f aca="false">IF(N(D282)=0,"",E282/D282)</f>
        <v/>
      </c>
      <c r="L282" s="44" t="str">
        <f aca="false">IF(N(E282)=0,"",I282/E282)</f>
        <v/>
      </c>
      <c r="M282" s="45" t="str">
        <f aca="false">IF(N(I282)=0,"",J282/I282)</f>
        <v/>
      </c>
      <c r="N282" s="45" t="str">
        <f aca="false">IF(N(E282)=0,"",J282/E282)</f>
        <v/>
      </c>
      <c r="O282" s="11"/>
    </row>
    <row r="283" customFormat="false" ht="15" hidden="false" customHeight="false" outlineLevel="0" collapsed="false">
      <c r="A283" s="38"/>
      <c r="B283" s="39" t="str">
        <f aca="false">IF(A283="","",CHOOSE(WEEKDAY(A283,2),"Lun","Mar","Mié","Jue","Vie","Sáb","Dom"))</f>
        <v/>
      </c>
      <c r="C283" s="11"/>
      <c r="D283" s="40"/>
      <c r="E283" s="40"/>
      <c r="F283" s="40"/>
      <c r="G283" s="41"/>
      <c r="H283" s="42"/>
      <c r="I283" s="40"/>
      <c r="J283" s="43"/>
      <c r="K283" s="44" t="str">
        <f aca="false">IF(N(D283)=0,"",E283/D283)</f>
        <v/>
      </c>
      <c r="L283" s="44" t="str">
        <f aca="false">IF(N(E283)=0,"",I283/E283)</f>
        <v/>
      </c>
      <c r="M283" s="45" t="str">
        <f aca="false">IF(N(I283)=0,"",J283/I283)</f>
        <v/>
      </c>
      <c r="N283" s="45" t="str">
        <f aca="false">IF(N(E283)=0,"",J283/E283)</f>
        <v/>
      </c>
      <c r="O283" s="11"/>
    </row>
    <row r="284" customFormat="false" ht="15" hidden="false" customHeight="false" outlineLevel="0" collapsed="false">
      <c r="A284" s="38"/>
      <c r="B284" s="39" t="str">
        <f aca="false">IF(A284="","",CHOOSE(WEEKDAY(A284,2),"Lun","Mar","Mié","Jue","Vie","Sáb","Dom"))</f>
        <v/>
      </c>
      <c r="C284" s="11"/>
      <c r="D284" s="40"/>
      <c r="E284" s="40"/>
      <c r="F284" s="40"/>
      <c r="G284" s="41"/>
      <c r="H284" s="42"/>
      <c r="I284" s="40"/>
      <c r="J284" s="43"/>
      <c r="K284" s="44" t="str">
        <f aca="false">IF(N(D284)=0,"",E284/D284)</f>
        <v/>
      </c>
      <c r="L284" s="44" t="str">
        <f aca="false">IF(N(E284)=0,"",I284/E284)</f>
        <v/>
      </c>
      <c r="M284" s="45" t="str">
        <f aca="false">IF(N(I284)=0,"",J284/I284)</f>
        <v/>
      </c>
      <c r="N284" s="45" t="str">
        <f aca="false">IF(N(E284)=0,"",J284/E284)</f>
        <v/>
      </c>
      <c r="O284" s="11"/>
    </row>
    <row r="285" customFormat="false" ht="15" hidden="false" customHeight="false" outlineLevel="0" collapsed="false">
      <c r="A285" s="38"/>
      <c r="B285" s="39" t="str">
        <f aca="false">IF(A285="","",CHOOSE(WEEKDAY(A285,2),"Lun","Mar","Mié","Jue","Vie","Sáb","Dom"))</f>
        <v/>
      </c>
      <c r="C285" s="11"/>
      <c r="D285" s="40"/>
      <c r="E285" s="40"/>
      <c r="F285" s="40"/>
      <c r="G285" s="41"/>
      <c r="H285" s="42"/>
      <c r="I285" s="40"/>
      <c r="J285" s="43"/>
      <c r="K285" s="44" t="str">
        <f aca="false">IF(N(D285)=0,"",E285/D285)</f>
        <v/>
      </c>
      <c r="L285" s="44" t="str">
        <f aca="false">IF(N(E285)=0,"",I285/E285)</f>
        <v/>
      </c>
      <c r="M285" s="45" t="str">
        <f aca="false">IF(N(I285)=0,"",J285/I285)</f>
        <v/>
      </c>
      <c r="N285" s="45" t="str">
        <f aca="false">IF(N(E285)=0,"",J285/E285)</f>
        <v/>
      </c>
      <c r="O285" s="11"/>
    </row>
    <row r="286" customFormat="false" ht="15" hidden="false" customHeight="false" outlineLevel="0" collapsed="false">
      <c r="A286" s="38"/>
      <c r="B286" s="39" t="str">
        <f aca="false">IF(A286="","",CHOOSE(WEEKDAY(A286,2),"Lun","Mar","Mié","Jue","Vie","Sáb","Dom"))</f>
        <v/>
      </c>
      <c r="C286" s="11"/>
      <c r="D286" s="40"/>
      <c r="E286" s="40"/>
      <c r="F286" s="40"/>
      <c r="G286" s="41"/>
      <c r="H286" s="42"/>
      <c r="I286" s="40"/>
      <c r="J286" s="43"/>
      <c r="K286" s="44" t="str">
        <f aca="false">IF(N(D286)=0,"",E286/D286)</f>
        <v/>
      </c>
      <c r="L286" s="44" t="str">
        <f aca="false">IF(N(E286)=0,"",I286/E286)</f>
        <v/>
      </c>
      <c r="M286" s="45" t="str">
        <f aca="false">IF(N(I286)=0,"",J286/I286)</f>
        <v/>
      </c>
      <c r="N286" s="45" t="str">
        <f aca="false">IF(N(E286)=0,"",J286/E286)</f>
        <v/>
      </c>
      <c r="O286" s="11"/>
    </row>
    <row r="287" customFormat="false" ht="15" hidden="false" customHeight="false" outlineLevel="0" collapsed="false">
      <c r="A287" s="38"/>
      <c r="B287" s="39" t="str">
        <f aca="false">IF(A287="","",CHOOSE(WEEKDAY(A287,2),"Lun","Mar","Mié","Jue","Vie","Sáb","Dom"))</f>
        <v/>
      </c>
      <c r="C287" s="11"/>
      <c r="D287" s="40"/>
      <c r="E287" s="40"/>
      <c r="F287" s="40"/>
      <c r="G287" s="41"/>
      <c r="H287" s="42"/>
      <c r="I287" s="40"/>
      <c r="J287" s="43"/>
      <c r="K287" s="44" t="str">
        <f aca="false">IF(N(D287)=0,"",E287/D287)</f>
        <v/>
      </c>
      <c r="L287" s="44" t="str">
        <f aca="false">IF(N(E287)=0,"",I287/E287)</f>
        <v/>
      </c>
      <c r="M287" s="45" t="str">
        <f aca="false">IF(N(I287)=0,"",J287/I287)</f>
        <v/>
      </c>
      <c r="N287" s="45" t="str">
        <f aca="false">IF(N(E287)=0,"",J287/E287)</f>
        <v/>
      </c>
      <c r="O287" s="11"/>
    </row>
    <row r="288" customFormat="false" ht="15" hidden="false" customHeight="false" outlineLevel="0" collapsed="false">
      <c r="A288" s="38"/>
      <c r="B288" s="39" t="str">
        <f aca="false">IF(A288="","",CHOOSE(WEEKDAY(A288,2),"Lun","Mar","Mié","Jue","Vie","Sáb","Dom"))</f>
        <v/>
      </c>
      <c r="C288" s="11"/>
      <c r="D288" s="40"/>
      <c r="E288" s="40"/>
      <c r="F288" s="40"/>
      <c r="G288" s="41"/>
      <c r="H288" s="42"/>
      <c r="I288" s="40"/>
      <c r="J288" s="43"/>
      <c r="K288" s="44" t="str">
        <f aca="false">IF(N(D288)=0,"",E288/D288)</f>
        <v/>
      </c>
      <c r="L288" s="44" t="str">
        <f aca="false">IF(N(E288)=0,"",I288/E288)</f>
        <v/>
      </c>
      <c r="M288" s="45" t="str">
        <f aca="false">IF(N(I288)=0,"",J288/I288)</f>
        <v/>
      </c>
      <c r="N288" s="45" t="str">
        <f aca="false">IF(N(E288)=0,"",J288/E288)</f>
        <v/>
      </c>
      <c r="O288" s="11"/>
    </row>
    <row r="289" customFormat="false" ht="15" hidden="false" customHeight="false" outlineLevel="0" collapsed="false">
      <c r="A289" s="38"/>
      <c r="B289" s="39" t="str">
        <f aca="false">IF(A289="","",CHOOSE(WEEKDAY(A289,2),"Lun","Mar","Mié","Jue","Vie","Sáb","Dom"))</f>
        <v/>
      </c>
      <c r="C289" s="11"/>
      <c r="D289" s="40"/>
      <c r="E289" s="40"/>
      <c r="F289" s="40"/>
      <c r="G289" s="41"/>
      <c r="H289" s="42"/>
      <c r="I289" s="40"/>
      <c r="J289" s="43"/>
      <c r="K289" s="44" t="str">
        <f aca="false">IF(N(D289)=0,"",E289/D289)</f>
        <v/>
      </c>
      <c r="L289" s="44" t="str">
        <f aca="false">IF(N(E289)=0,"",I289/E289)</f>
        <v/>
      </c>
      <c r="M289" s="45" t="str">
        <f aca="false">IF(N(I289)=0,"",J289/I289)</f>
        <v/>
      </c>
      <c r="N289" s="45" t="str">
        <f aca="false">IF(N(E289)=0,"",J289/E289)</f>
        <v/>
      </c>
      <c r="O289" s="11"/>
    </row>
    <row r="290" customFormat="false" ht="15" hidden="false" customHeight="false" outlineLevel="0" collapsed="false">
      <c r="A290" s="38"/>
      <c r="B290" s="39" t="str">
        <f aca="false">IF(A290="","",CHOOSE(WEEKDAY(A290,2),"Lun","Mar","Mié","Jue","Vie","Sáb","Dom"))</f>
        <v/>
      </c>
      <c r="C290" s="11"/>
      <c r="D290" s="40"/>
      <c r="E290" s="40"/>
      <c r="F290" s="40"/>
      <c r="G290" s="41"/>
      <c r="H290" s="42"/>
      <c r="I290" s="40"/>
      <c r="J290" s="43"/>
      <c r="K290" s="44" t="str">
        <f aca="false">IF(N(D290)=0,"",E290/D290)</f>
        <v/>
      </c>
      <c r="L290" s="44" t="str">
        <f aca="false">IF(N(E290)=0,"",I290/E290)</f>
        <v/>
      </c>
      <c r="M290" s="45" t="str">
        <f aca="false">IF(N(I290)=0,"",J290/I290)</f>
        <v/>
      </c>
      <c r="N290" s="45" t="str">
        <f aca="false">IF(N(E290)=0,"",J290/E290)</f>
        <v/>
      </c>
      <c r="O290" s="11"/>
    </row>
    <row r="291" customFormat="false" ht="15" hidden="false" customHeight="false" outlineLevel="0" collapsed="false">
      <c r="A291" s="38"/>
      <c r="B291" s="39" t="str">
        <f aca="false">IF(A291="","",CHOOSE(WEEKDAY(A291,2),"Lun","Mar","Mié","Jue","Vie","Sáb","Dom"))</f>
        <v/>
      </c>
      <c r="C291" s="11"/>
      <c r="D291" s="40"/>
      <c r="E291" s="40"/>
      <c r="F291" s="40"/>
      <c r="G291" s="41"/>
      <c r="H291" s="42"/>
      <c r="I291" s="40"/>
      <c r="J291" s="43"/>
      <c r="K291" s="44" t="str">
        <f aca="false">IF(N(D291)=0,"",E291/D291)</f>
        <v/>
      </c>
      <c r="L291" s="44" t="str">
        <f aca="false">IF(N(E291)=0,"",I291/E291)</f>
        <v/>
      </c>
      <c r="M291" s="45" t="str">
        <f aca="false">IF(N(I291)=0,"",J291/I291)</f>
        <v/>
      </c>
      <c r="N291" s="45" t="str">
        <f aca="false">IF(N(E291)=0,"",J291/E291)</f>
        <v/>
      </c>
      <c r="O291" s="11"/>
    </row>
    <row r="292" customFormat="false" ht="15" hidden="false" customHeight="false" outlineLevel="0" collapsed="false">
      <c r="A292" s="38"/>
      <c r="B292" s="39" t="str">
        <f aca="false">IF(A292="","",CHOOSE(WEEKDAY(A292,2),"Lun","Mar","Mié","Jue","Vie","Sáb","Dom"))</f>
        <v/>
      </c>
      <c r="C292" s="11"/>
      <c r="D292" s="40"/>
      <c r="E292" s="40"/>
      <c r="F292" s="40"/>
      <c r="G292" s="41"/>
      <c r="H292" s="42"/>
      <c r="I292" s="40"/>
      <c r="J292" s="43"/>
      <c r="K292" s="44" t="str">
        <f aca="false">IF(N(D292)=0,"",E292/D292)</f>
        <v/>
      </c>
      <c r="L292" s="44" t="str">
        <f aca="false">IF(N(E292)=0,"",I292/E292)</f>
        <v/>
      </c>
      <c r="M292" s="45" t="str">
        <f aca="false">IF(N(I292)=0,"",J292/I292)</f>
        <v/>
      </c>
      <c r="N292" s="45" t="str">
        <f aca="false">IF(N(E292)=0,"",J292/E292)</f>
        <v/>
      </c>
      <c r="O292" s="11"/>
    </row>
    <row r="293" customFormat="false" ht="15" hidden="false" customHeight="false" outlineLevel="0" collapsed="false">
      <c r="A293" s="38"/>
      <c r="B293" s="39" t="str">
        <f aca="false">IF(A293="","",CHOOSE(WEEKDAY(A293,2),"Lun","Mar","Mié","Jue","Vie","Sáb","Dom"))</f>
        <v/>
      </c>
      <c r="C293" s="11"/>
      <c r="D293" s="40"/>
      <c r="E293" s="40"/>
      <c r="F293" s="40"/>
      <c r="G293" s="41"/>
      <c r="H293" s="42"/>
      <c r="I293" s="40"/>
      <c r="J293" s="43"/>
      <c r="K293" s="44" t="str">
        <f aca="false">IF(N(D293)=0,"",E293/D293)</f>
        <v/>
      </c>
      <c r="L293" s="44" t="str">
        <f aca="false">IF(N(E293)=0,"",I293/E293)</f>
        <v/>
      </c>
      <c r="M293" s="45" t="str">
        <f aca="false">IF(N(I293)=0,"",J293/I293)</f>
        <v/>
      </c>
      <c r="N293" s="45" t="str">
        <f aca="false">IF(N(E293)=0,"",J293/E293)</f>
        <v/>
      </c>
      <c r="O293" s="11"/>
    </row>
    <row r="294" customFormat="false" ht="15" hidden="false" customHeight="false" outlineLevel="0" collapsed="false">
      <c r="A294" s="38"/>
      <c r="B294" s="39" t="str">
        <f aca="false">IF(A294="","",CHOOSE(WEEKDAY(A294,2),"Lun","Mar","Mié","Jue","Vie","Sáb","Dom"))</f>
        <v/>
      </c>
      <c r="C294" s="11"/>
      <c r="D294" s="40"/>
      <c r="E294" s="40"/>
      <c r="F294" s="40"/>
      <c r="G294" s="41"/>
      <c r="H294" s="42"/>
      <c r="I294" s="40"/>
      <c r="J294" s="43"/>
      <c r="K294" s="44" t="str">
        <f aca="false">IF(N(D294)=0,"",E294/D294)</f>
        <v/>
      </c>
      <c r="L294" s="44" t="str">
        <f aca="false">IF(N(E294)=0,"",I294/E294)</f>
        <v/>
      </c>
      <c r="M294" s="45" t="str">
        <f aca="false">IF(N(I294)=0,"",J294/I294)</f>
        <v/>
      </c>
      <c r="N294" s="45" t="str">
        <f aca="false">IF(N(E294)=0,"",J294/E294)</f>
        <v/>
      </c>
      <c r="O294" s="11"/>
    </row>
    <row r="295" customFormat="false" ht="15" hidden="false" customHeight="false" outlineLevel="0" collapsed="false">
      <c r="A295" s="38"/>
      <c r="B295" s="39" t="str">
        <f aca="false">IF(A295="","",CHOOSE(WEEKDAY(A295,2),"Lun","Mar","Mié","Jue","Vie","Sáb","Dom"))</f>
        <v/>
      </c>
      <c r="C295" s="11"/>
      <c r="D295" s="40"/>
      <c r="E295" s="40"/>
      <c r="F295" s="40"/>
      <c r="G295" s="41"/>
      <c r="H295" s="42"/>
      <c r="I295" s="40"/>
      <c r="J295" s="43"/>
      <c r="K295" s="44" t="str">
        <f aca="false">IF(N(D295)=0,"",E295/D295)</f>
        <v/>
      </c>
      <c r="L295" s="44" t="str">
        <f aca="false">IF(N(E295)=0,"",I295/E295)</f>
        <v/>
      </c>
      <c r="M295" s="45" t="str">
        <f aca="false">IF(N(I295)=0,"",J295/I295)</f>
        <v/>
      </c>
      <c r="N295" s="45" t="str">
        <f aca="false">IF(N(E295)=0,"",J295/E295)</f>
        <v/>
      </c>
      <c r="O295" s="11"/>
    </row>
    <row r="296" customFormat="false" ht="15" hidden="false" customHeight="false" outlineLevel="0" collapsed="false">
      <c r="A296" s="38"/>
      <c r="B296" s="39" t="str">
        <f aca="false">IF(A296="","",CHOOSE(WEEKDAY(A296,2),"Lun","Mar","Mié","Jue","Vie","Sáb","Dom"))</f>
        <v/>
      </c>
      <c r="C296" s="11"/>
      <c r="D296" s="40"/>
      <c r="E296" s="40"/>
      <c r="F296" s="40"/>
      <c r="G296" s="41"/>
      <c r="H296" s="42"/>
      <c r="I296" s="40"/>
      <c r="J296" s="43"/>
      <c r="K296" s="44" t="str">
        <f aca="false">IF(N(D296)=0,"",E296/D296)</f>
        <v/>
      </c>
      <c r="L296" s="44" t="str">
        <f aca="false">IF(N(E296)=0,"",I296/E296)</f>
        <v/>
      </c>
      <c r="M296" s="45" t="str">
        <f aca="false">IF(N(I296)=0,"",J296/I296)</f>
        <v/>
      </c>
      <c r="N296" s="45" t="str">
        <f aca="false">IF(N(E296)=0,"",J296/E296)</f>
        <v/>
      </c>
      <c r="O296" s="11"/>
    </row>
    <row r="297" customFormat="false" ht="15" hidden="false" customHeight="false" outlineLevel="0" collapsed="false">
      <c r="A297" s="38"/>
      <c r="B297" s="39" t="str">
        <f aca="false">IF(A297="","",CHOOSE(WEEKDAY(A297,2),"Lun","Mar","Mié","Jue","Vie","Sáb","Dom"))</f>
        <v/>
      </c>
      <c r="C297" s="11"/>
      <c r="D297" s="40"/>
      <c r="E297" s="40"/>
      <c r="F297" s="40"/>
      <c r="G297" s="41"/>
      <c r="H297" s="42"/>
      <c r="I297" s="40"/>
      <c r="J297" s="43"/>
      <c r="K297" s="44" t="str">
        <f aca="false">IF(N(D297)=0,"",E297/D297)</f>
        <v/>
      </c>
      <c r="L297" s="44" t="str">
        <f aca="false">IF(N(E297)=0,"",I297/E297)</f>
        <v/>
      </c>
      <c r="M297" s="45" t="str">
        <f aca="false">IF(N(I297)=0,"",J297/I297)</f>
        <v/>
      </c>
      <c r="N297" s="45" t="str">
        <f aca="false">IF(N(E297)=0,"",J297/E297)</f>
        <v/>
      </c>
      <c r="O297" s="11"/>
    </row>
    <row r="298" customFormat="false" ht="15" hidden="false" customHeight="false" outlineLevel="0" collapsed="false">
      <c r="A298" s="38"/>
      <c r="B298" s="39" t="str">
        <f aca="false">IF(A298="","",CHOOSE(WEEKDAY(A298,2),"Lun","Mar","Mié","Jue","Vie","Sáb","Dom"))</f>
        <v/>
      </c>
      <c r="C298" s="11"/>
      <c r="D298" s="40"/>
      <c r="E298" s="40"/>
      <c r="F298" s="40"/>
      <c r="G298" s="41"/>
      <c r="H298" s="42"/>
      <c r="I298" s="40"/>
      <c r="J298" s="43"/>
      <c r="K298" s="44" t="str">
        <f aca="false">IF(N(D298)=0,"",E298/D298)</f>
        <v/>
      </c>
      <c r="L298" s="44" t="str">
        <f aca="false">IF(N(E298)=0,"",I298/E298)</f>
        <v/>
      </c>
      <c r="M298" s="45" t="str">
        <f aca="false">IF(N(I298)=0,"",J298/I298)</f>
        <v/>
      </c>
      <c r="N298" s="45" t="str">
        <f aca="false">IF(N(E298)=0,"",J298/E298)</f>
        <v/>
      </c>
      <c r="O298" s="11"/>
    </row>
    <row r="299" customFormat="false" ht="15" hidden="false" customHeight="false" outlineLevel="0" collapsed="false">
      <c r="A299" s="38"/>
      <c r="B299" s="39" t="str">
        <f aca="false">IF(A299="","",CHOOSE(WEEKDAY(A299,2),"Lun","Mar","Mié","Jue","Vie","Sáb","Dom"))</f>
        <v/>
      </c>
      <c r="C299" s="11"/>
      <c r="D299" s="40"/>
      <c r="E299" s="40"/>
      <c r="F299" s="40"/>
      <c r="G299" s="41"/>
      <c r="H299" s="42"/>
      <c r="I299" s="40"/>
      <c r="J299" s="43"/>
      <c r="K299" s="44" t="str">
        <f aca="false">IF(N(D299)=0,"",E299/D299)</f>
        <v/>
      </c>
      <c r="L299" s="44" t="str">
        <f aca="false">IF(N(E299)=0,"",I299/E299)</f>
        <v/>
      </c>
      <c r="M299" s="45" t="str">
        <f aca="false">IF(N(I299)=0,"",J299/I299)</f>
        <v/>
      </c>
      <c r="N299" s="45" t="str">
        <f aca="false">IF(N(E299)=0,"",J299/E299)</f>
        <v/>
      </c>
      <c r="O299" s="11"/>
    </row>
    <row r="300" customFormat="false" ht="15" hidden="false" customHeight="false" outlineLevel="0" collapsed="false">
      <c r="A300" s="38"/>
      <c r="B300" s="39" t="str">
        <f aca="false">IF(A300="","",CHOOSE(WEEKDAY(A300,2),"Lun","Mar","Mié","Jue","Vie","Sáb","Dom"))</f>
        <v/>
      </c>
      <c r="C300" s="11"/>
      <c r="D300" s="40"/>
      <c r="E300" s="40"/>
      <c r="F300" s="40"/>
      <c r="G300" s="41"/>
      <c r="H300" s="42"/>
      <c r="I300" s="40"/>
      <c r="J300" s="43"/>
      <c r="K300" s="44" t="str">
        <f aca="false">IF(N(D300)=0,"",E300/D300)</f>
        <v/>
      </c>
      <c r="L300" s="44" t="str">
        <f aca="false">IF(N(E300)=0,"",I300/E300)</f>
        <v/>
      </c>
      <c r="M300" s="45" t="str">
        <f aca="false">IF(N(I300)=0,"",J300/I300)</f>
        <v/>
      </c>
      <c r="N300" s="45" t="str">
        <f aca="false">IF(N(E300)=0,"",J300/E300)</f>
        <v/>
      </c>
      <c r="O300" s="11"/>
    </row>
    <row r="301" customFormat="false" ht="15" hidden="false" customHeight="false" outlineLevel="0" collapsed="false">
      <c r="A301" s="38"/>
      <c r="B301" s="39" t="str">
        <f aca="false">IF(A301="","",CHOOSE(WEEKDAY(A301,2),"Lun","Mar","Mié","Jue","Vie","Sáb","Dom"))</f>
        <v/>
      </c>
      <c r="C301" s="11"/>
      <c r="D301" s="40"/>
      <c r="E301" s="40"/>
      <c r="F301" s="40"/>
      <c r="G301" s="41"/>
      <c r="H301" s="42"/>
      <c r="I301" s="40"/>
      <c r="J301" s="43"/>
      <c r="K301" s="44" t="str">
        <f aca="false">IF(N(D301)=0,"",E301/D301)</f>
        <v/>
      </c>
      <c r="L301" s="44" t="str">
        <f aca="false">IF(N(E301)=0,"",I301/E301)</f>
        <v/>
      </c>
      <c r="M301" s="45" t="str">
        <f aca="false">IF(N(I301)=0,"",J301/I301)</f>
        <v/>
      </c>
      <c r="N301" s="45" t="str">
        <f aca="false">IF(N(E301)=0,"",J301/E301)</f>
        <v/>
      </c>
      <c r="O301" s="11"/>
    </row>
    <row r="302" customFormat="false" ht="15" hidden="false" customHeight="false" outlineLevel="0" collapsed="false">
      <c r="A302" s="38"/>
      <c r="B302" s="39" t="str">
        <f aca="false">IF(A302="","",CHOOSE(WEEKDAY(A302,2),"Lun","Mar","Mié","Jue","Vie","Sáb","Dom"))</f>
        <v/>
      </c>
      <c r="C302" s="11"/>
      <c r="D302" s="40"/>
      <c r="E302" s="40"/>
      <c r="F302" s="40"/>
      <c r="G302" s="41"/>
      <c r="H302" s="42"/>
      <c r="I302" s="40"/>
      <c r="J302" s="43"/>
      <c r="K302" s="44" t="str">
        <f aca="false">IF(N(D302)=0,"",E302/D302)</f>
        <v/>
      </c>
      <c r="L302" s="44" t="str">
        <f aca="false">IF(N(E302)=0,"",I302/E302)</f>
        <v/>
      </c>
      <c r="M302" s="45" t="str">
        <f aca="false">IF(N(I302)=0,"",J302/I302)</f>
        <v/>
      </c>
      <c r="N302" s="45" t="str">
        <f aca="false">IF(N(E302)=0,"",J302/E302)</f>
        <v/>
      </c>
      <c r="O302" s="11"/>
    </row>
    <row r="303" customFormat="false" ht="15" hidden="false" customHeight="false" outlineLevel="0" collapsed="false">
      <c r="A303" s="38"/>
      <c r="B303" s="39" t="str">
        <f aca="false">IF(A303="","",CHOOSE(WEEKDAY(A303,2),"Lun","Mar","Mié","Jue","Vie","Sáb","Dom"))</f>
        <v/>
      </c>
      <c r="C303" s="11"/>
      <c r="D303" s="40"/>
      <c r="E303" s="40"/>
      <c r="F303" s="40"/>
      <c r="G303" s="41"/>
      <c r="H303" s="42"/>
      <c r="I303" s="40"/>
      <c r="J303" s="43"/>
      <c r="K303" s="44" t="str">
        <f aca="false">IF(N(D303)=0,"",E303/D303)</f>
        <v/>
      </c>
      <c r="L303" s="44" t="str">
        <f aca="false">IF(N(E303)=0,"",I303/E303)</f>
        <v/>
      </c>
      <c r="M303" s="45" t="str">
        <f aca="false">IF(N(I303)=0,"",J303/I303)</f>
        <v/>
      </c>
      <c r="N303" s="45" t="str">
        <f aca="false">IF(N(E303)=0,"",J303/E303)</f>
        <v/>
      </c>
      <c r="O303" s="11"/>
    </row>
    <row r="304" customFormat="false" ht="15" hidden="false" customHeight="false" outlineLevel="0" collapsed="false">
      <c r="A304" s="38"/>
      <c r="B304" s="39" t="str">
        <f aca="false">IF(A304="","",CHOOSE(WEEKDAY(A304,2),"Lun","Mar","Mié","Jue","Vie","Sáb","Dom"))</f>
        <v/>
      </c>
      <c r="C304" s="11"/>
      <c r="D304" s="40"/>
      <c r="E304" s="40"/>
      <c r="F304" s="40"/>
      <c r="G304" s="41"/>
      <c r="H304" s="42"/>
      <c r="I304" s="40"/>
      <c r="J304" s="43"/>
      <c r="K304" s="44" t="str">
        <f aca="false">IF(N(D304)=0,"",E304/D304)</f>
        <v/>
      </c>
      <c r="L304" s="44" t="str">
        <f aca="false">IF(N(E304)=0,"",I304/E304)</f>
        <v/>
      </c>
      <c r="M304" s="45" t="str">
        <f aca="false">IF(N(I304)=0,"",J304/I304)</f>
        <v/>
      </c>
      <c r="N304" s="45" t="str">
        <f aca="false">IF(N(E304)=0,"",J304/E304)</f>
        <v/>
      </c>
      <c r="O304" s="11"/>
    </row>
    <row r="305" customFormat="false" ht="15" hidden="false" customHeight="false" outlineLevel="0" collapsed="false">
      <c r="A305" s="38"/>
      <c r="B305" s="39" t="str">
        <f aca="false">IF(A305="","",CHOOSE(WEEKDAY(A305,2),"Lun","Mar","Mié","Jue","Vie","Sáb","Dom"))</f>
        <v/>
      </c>
      <c r="C305" s="11"/>
      <c r="D305" s="40"/>
      <c r="E305" s="40"/>
      <c r="F305" s="40"/>
      <c r="G305" s="41"/>
      <c r="H305" s="42"/>
      <c r="I305" s="40"/>
      <c r="J305" s="43"/>
      <c r="K305" s="44" t="str">
        <f aca="false">IF(N(D305)=0,"",E305/D305)</f>
        <v/>
      </c>
      <c r="L305" s="44" t="str">
        <f aca="false">IF(N(E305)=0,"",I305/E305)</f>
        <v/>
      </c>
      <c r="M305" s="45" t="str">
        <f aca="false">IF(N(I305)=0,"",J305/I305)</f>
        <v/>
      </c>
      <c r="N305" s="45" t="str">
        <f aca="false">IF(N(E305)=0,"",J305/E305)</f>
        <v/>
      </c>
      <c r="O305" s="11"/>
    </row>
    <row r="306" customFormat="false" ht="15" hidden="false" customHeight="false" outlineLevel="0" collapsed="false">
      <c r="A306" s="38"/>
      <c r="B306" s="39" t="str">
        <f aca="false">IF(A306="","",CHOOSE(WEEKDAY(A306,2),"Lun","Mar","Mié","Jue","Vie","Sáb","Dom"))</f>
        <v/>
      </c>
      <c r="C306" s="11"/>
      <c r="D306" s="40"/>
      <c r="E306" s="40"/>
      <c r="F306" s="40"/>
      <c r="G306" s="41"/>
      <c r="H306" s="42"/>
      <c r="I306" s="40"/>
      <c r="J306" s="43"/>
      <c r="K306" s="44" t="str">
        <f aca="false">IF(N(D306)=0,"",E306/D306)</f>
        <v/>
      </c>
      <c r="L306" s="44" t="str">
        <f aca="false">IF(N(E306)=0,"",I306/E306)</f>
        <v/>
      </c>
      <c r="M306" s="45" t="str">
        <f aca="false">IF(N(I306)=0,"",J306/I306)</f>
        <v/>
      </c>
      <c r="N306" s="45" t="str">
        <f aca="false">IF(N(E306)=0,"",J306/E306)</f>
        <v/>
      </c>
      <c r="O306" s="11"/>
    </row>
    <row r="307" customFormat="false" ht="15" hidden="false" customHeight="false" outlineLevel="0" collapsed="false">
      <c r="A307" s="38"/>
      <c r="B307" s="39" t="str">
        <f aca="false">IF(A307="","",CHOOSE(WEEKDAY(A307,2),"Lun","Mar","Mié","Jue","Vie","Sáb","Dom"))</f>
        <v/>
      </c>
      <c r="C307" s="11"/>
      <c r="D307" s="40"/>
      <c r="E307" s="40"/>
      <c r="F307" s="40"/>
      <c r="G307" s="41"/>
      <c r="H307" s="42"/>
      <c r="I307" s="40"/>
      <c r="J307" s="43"/>
      <c r="K307" s="44" t="str">
        <f aca="false">IF(N(D307)=0,"",E307/D307)</f>
        <v/>
      </c>
      <c r="L307" s="44" t="str">
        <f aca="false">IF(N(E307)=0,"",I307/E307)</f>
        <v/>
      </c>
      <c r="M307" s="45" t="str">
        <f aca="false">IF(N(I307)=0,"",J307/I307)</f>
        <v/>
      </c>
      <c r="N307" s="45" t="str">
        <f aca="false">IF(N(E307)=0,"",J307/E307)</f>
        <v/>
      </c>
      <c r="O307" s="11"/>
    </row>
    <row r="308" customFormat="false" ht="15" hidden="false" customHeight="false" outlineLevel="0" collapsed="false">
      <c r="A308" s="38"/>
      <c r="B308" s="39" t="str">
        <f aca="false">IF(A308="","",CHOOSE(WEEKDAY(A308,2),"Lun","Mar","Mié","Jue","Vie","Sáb","Dom"))</f>
        <v/>
      </c>
      <c r="C308" s="11"/>
      <c r="D308" s="40"/>
      <c r="E308" s="40"/>
      <c r="F308" s="40"/>
      <c r="G308" s="41"/>
      <c r="H308" s="42"/>
      <c r="I308" s="40"/>
      <c r="J308" s="43"/>
      <c r="K308" s="44" t="str">
        <f aca="false">IF(N(D308)=0,"",E308/D308)</f>
        <v/>
      </c>
      <c r="L308" s="44" t="str">
        <f aca="false">IF(N(E308)=0,"",I308/E308)</f>
        <v/>
      </c>
      <c r="M308" s="45" t="str">
        <f aca="false">IF(N(I308)=0,"",J308/I308)</f>
        <v/>
      </c>
      <c r="N308" s="45" t="str">
        <f aca="false">IF(N(E308)=0,"",J308/E308)</f>
        <v/>
      </c>
      <c r="O308" s="11"/>
    </row>
    <row r="309" customFormat="false" ht="15" hidden="false" customHeight="false" outlineLevel="0" collapsed="false">
      <c r="A309" s="38"/>
      <c r="B309" s="39" t="str">
        <f aca="false">IF(A309="","",CHOOSE(WEEKDAY(A309,2),"Lun","Mar","Mié","Jue","Vie","Sáb","Dom"))</f>
        <v/>
      </c>
      <c r="C309" s="11"/>
      <c r="D309" s="40"/>
      <c r="E309" s="40"/>
      <c r="F309" s="40"/>
      <c r="G309" s="41"/>
      <c r="H309" s="42"/>
      <c r="I309" s="40"/>
      <c r="J309" s="43"/>
      <c r="K309" s="44" t="str">
        <f aca="false">IF(N(D309)=0,"",E309/D309)</f>
        <v/>
      </c>
      <c r="L309" s="44" t="str">
        <f aca="false">IF(N(E309)=0,"",I309/E309)</f>
        <v/>
      </c>
      <c r="M309" s="45" t="str">
        <f aca="false">IF(N(I309)=0,"",J309/I309)</f>
        <v/>
      </c>
      <c r="N309" s="45" t="str">
        <f aca="false">IF(N(E309)=0,"",J309/E309)</f>
        <v/>
      </c>
      <c r="O309" s="11"/>
    </row>
    <row r="310" customFormat="false" ht="15" hidden="false" customHeight="false" outlineLevel="0" collapsed="false">
      <c r="A310" s="38"/>
      <c r="B310" s="39" t="str">
        <f aca="false">IF(A310="","",CHOOSE(WEEKDAY(A310,2),"Lun","Mar","Mié","Jue","Vie","Sáb","Dom"))</f>
        <v/>
      </c>
      <c r="C310" s="11"/>
      <c r="D310" s="40"/>
      <c r="E310" s="40"/>
      <c r="F310" s="40"/>
      <c r="G310" s="41"/>
      <c r="H310" s="42"/>
      <c r="I310" s="40"/>
      <c r="J310" s="43"/>
      <c r="K310" s="44" t="str">
        <f aca="false">IF(N(D310)=0,"",E310/D310)</f>
        <v/>
      </c>
      <c r="L310" s="44" t="str">
        <f aca="false">IF(N(E310)=0,"",I310/E310)</f>
        <v/>
      </c>
      <c r="M310" s="45" t="str">
        <f aca="false">IF(N(I310)=0,"",J310/I310)</f>
        <v/>
      </c>
      <c r="N310" s="45" t="str">
        <f aca="false">IF(N(E310)=0,"",J310/E310)</f>
        <v/>
      </c>
      <c r="O310" s="11"/>
    </row>
    <row r="311" customFormat="false" ht="15" hidden="false" customHeight="false" outlineLevel="0" collapsed="false">
      <c r="A311" s="38"/>
      <c r="B311" s="39" t="str">
        <f aca="false">IF(A311="","",CHOOSE(WEEKDAY(A311,2),"Lun","Mar","Mié","Jue","Vie","Sáb","Dom"))</f>
        <v/>
      </c>
      <c r="C311" s="11"/>
      <c r="D311" s="40"/>
      <c r="E311" s="40"/>
      <c r="F311" s="40"/>
      <c r="G311" s="41"/>
      <c r="H311" s="42"/>
      <c r="I311" s="40"/>
      <c r="J311" s="43"/>
      <c r="K311" s="44" t="str">
        <f aca="false">IF(N(D311)=0,"",E311/D311)</f>
        <v/>
      </c>
      <c r="L311" s="44" t="str">
        <f aca="false">IF(N(E311)=0,"",I311/E311)</f>
        <v/>
      </c>
      <c r="M311" s="45" t="str">
        <f aca="false">IF(N(I311)=0,"",J311/I311)</f>
        <v/>
      </c>
      <c r="N311" s="45" t="str">
        <f aca="false">IF(N(E311)=0,"",J311/E311)</f>
        <v/>
      </c>
      <c r="O311" s="11"/>
    </row>
    <row r="312" customFormat="false" ht="15" hidden="false" customHeight="false" outlineLevel="0" collapsed="false">
      <c r="A312" s="38"/>
      <c r="B312" s="39" t="str">
        <f aca="false">IF(A312="","",CHOOSE(WEEKDAY(A312,2),"Lun","Mar","Mié","Jue","Vie","Sáb","Dom"))</f>
        <v/>
      </c>
      <c r="C312" s="11"/>
      <c r="D312" s="40"/>
      <c r="E312" s="40"/>
      <c r="F312" s="40"/>
      <c r="G312" s="41"/>
      <c r="H312" s="42"/>
      <c r="I312" s="40"/>
      <c r="J312" s="43"/>
      <c r="K312" s="44" t="str">
        <f aca="false">IF(N(D312)=0,"",E312/D312)</f>
        <v/>
      </c>
      <c r="L312" s="44" t="str">
        <f aca="false">IF(N(E312)=0,"",I312/E312)</f>
        <v/>
      </c>
      <c r="M312" s="45" t="str">
        <f aca="false">IF(N(I312)=0,"",J312/I312)</f>
        <v/>
      </c>
      <c r="N312" s="45" t="str">
        <f aca="false">IF(N(E312)=0,"",J312/E312)</f>
        <v/>
      </c>
      <c r="O312" s="11"/>
    </row>
    <row r="313" customFormat="false" ht="15" hidden="false" customHeight="false" outlineLevel="0" collapsed="false">
      <c r="A313" s="38"/>
      <c r="B313" s="39" t="str">
        <f aca="false">IF(A313="","",CHOOSE(WEEKDAY(A313,2),"Lun","Mar","Mié","Jue","Vie","Sáb","Dom"))</f>
        <v/>
      </c>
      <c r="C313" s="11"/>
      <c r="D313" s="40"/>
      <c r="E313" s="40"/>
      <c r="F313" s="40"/>
      <c r="G313" s="41"/>
      <c r="H313" s="42"/>
      <c r="I313" s="40"/>
      <c r="J313" s="43"/>
      <c r="K313" s="44" t="str">
        <f aca="false">IF(N(D313)=0,"",E313/D313)</f>
        <v/>
      </c>
      <c r="L313" s="44" t="str">
        <f aca="false">IF(N(E313)=0,"",I313/E313)</f>
        <v/>
      </c>
      <c r="M313" s="45" t="str">
        <f aca="false">IF(N(I313)=0,"",J313/I313)</f>
        <v/>
      </c>
      <c r="N313" s="45" t="str">
        <f aca="false">IF(N(E313)=0,"",J313/E313)</f>
        <v/>
      </c>
      <c r="O313" s="11"/>
    </row>
    <row r="314" customFormat="false" ht="15" hidden="false" customHeight="false" outlineLevel="0" collapsed="false">
      <c r="A314" s="38"/>
      <c r="B314" s="39" t="str">
        <f aca="false">IF(A314="","",CHOOSE(WEEKDAY(A314,2),"Lun","Mar","Mié","Jue","Vie","Sáb","Dom"))</f>
        <v/>
      </c>
      <c r="C314" s="11"/>
      <c r="D314" s="40"/>
      <c r="E314" s="40"/>
      <c r="F314" s="40"/>
      <c r="G314" s="41"/>
      <c r="H314" s="42"/>
      <c r="I314" s="40"/>
      <c r="J314" s="43"/>
      <c r="K314" s="44" t="str">
        <f aca="false">IF(N(D314)=0,"",E314/D314)</f>
        <v/>
      </c>
      <c r="L314" s="44" t="str">
        <f aca="false">IF(N(E314)=0,"",I314/E314)</f>
        <v/>
      </c>
      <c r="M314" s="45" t="str">
        <f aca="false">IF(N(I314)=0,"",J314/I314)</f>
        <v/>
      </c>
      <c r="N314" s="45" t="str">
        <f aca="false">IF(N(E314)=0,"",J314/E314)</f>
        <v/>
      </c>
      <c r="O314" s="11"/>
    </row>
    <row r="315" customFormat="false" ht="15" hidden="false" customHeight="false" outlineLevel="0" collapsed="false">
      <c r="A315" s="38"/>
      <c r="B315" s="39" t="str">
        <f aca="false">IF(A315="","",CHOOSE(WEEKDAY(A315,2),"Lun","Mar","Mié","Jue","Vie","Sáb","Dom"))</f>
        <v/>
      </c>
      <c r="C315" s="11"/>
      <c r="D315" s="40"/>
      <c r="E315" s="40"/>
      <c r="F315" s="40"/>
      <c r="G315" s="41"/>
      <c r="H315" s="42"/>
      <c r="I315" s="40"/>
      <c r="J315" s="43"/>
      <c r="K315" s="44" t="str">
        <f aca="false">IF(N(D315)=0,"",E315/D315)</f>
        <v/>
      </c>
      <c r="L315" s="44" t="str">
        <f aca="false">IF(N(E315)=0,"",I315/E315)</f>
        <v/>
      </c>
      <c r="M315" s="45" t="str">
        <f aca="false">IF(N(I315)=0,"",J315/I315)</f>
        <v/>
      </c>
      <c r="N315" s="45" t="str">
        <f aca="false">IF(N(E315)=0,"",J315/E315)</f>
        <v/>
      </c>
      <c r="O315" s="11"/>
    </row>
    <row r="316" customFormat="false" ht="15" hidden="false" customHeight="false" outlineLevel="0" collapsed="false">
      <c r="A316" s="38"/>
      <c r="B316" s="39" t="str">
        <f aca="false">IF(A316="","",CHOOSE(WEEKDAY(A316,2),"Lun","Mar","Mié","Jue","Vie","Sáb","Dom"))</f>
        <v/>
      </c>
      <c r="C316" s="11"/>
      <c r="D316" s="40"/>
      <c r="E316" s="40"/>
      <c r="F316" s="40"/>
      <c r="G316" s="41"/>
      <c r="H316" s="42"/>
      <c r="I316" s="40"/>
      <c r="J316" s="43"/>
      <c r="K316" s="44" t="str">
        <f aca="false">IF(N(D316)=0,"",E316/D316)</f>
        <v/>
      </c>
      <c r="L316" s="44" t="str">
        <f aca="false">IF(N(E316)=0,"",I316/E316)</f>
        <v/>
      </c>
      <c r="M316" s="45" t="str">
        <f aca="false">IF(N(I316)=0,"",J316/I316)</f>
        <v/>
      </c>
      <c r="N316" s="45" t="str">
        <f aca="false">IF(N(E316)=0,"",J316/E316)</f>
        <v/>
      </c>
      <c r="O316" s="11"/>
    </row>
    <row r="317" customFormat="false" ht="15" hidden="false" customHeight="false" outlineLevel="0" collapsed="false">
      <c r="A317" s="38"/>
      <c r="B317" s="39" t="str">
        <f aca="false">IF(A317="","",CHOOSE(WEEKDAY(A317,2),"Lun","Mar","Mié","Jue","Vie","Sáb","Dom"))</f>
        <v/>
      </c>
      <c r="C317" s="11"/>
      <c r="D317" s="40"/>
      <c r="E317" s="40"/>
      <c r="F317" s="40"/>
      <c r="G317" s="41"/>
      <c r="H317" s="42"/>
      <c r="I317" s="40"/>
      <c r="J317" s="43"/>
      <c r="K317" s="44" t="str">
        <f aca="false">IF(N(D317)=0,"",E317/D317)</f>
        <v/>
      </c>
      <c r="L317" s="44" t="str">
        <f aca="false">IF(N(E317)=0,"",I317/E317)</f>
        <v/>
      </c>
      <c r="M317" s="45" t="str">
        <f aca="false">IF(N(I317)=0,"",J317/I317)</f>
        <v/>
      </c>
      <c r="N317" s="45" t="str">
        <f aca="false">IF(N(E317)=0,"",J317/E317)</f>
        <v/>
      </c>
      <c r="O317" s="11"/>
    </row>
    <row r="318" customFormat="false" ht="15" hidden="false" customHeight="false" outlineLevel="0" collapsed="false">
      <c r="A318" s="38"/>
      <c r="B318" s="39" t="str">
        <f aca="false">IF(A318="","",CHOOSE(WEEKDAY(A318,2),"Lun","Mar","Mié","Jue","Vie","Sáb","Dom"))</f>
        <v/>
      </c>
      <c r="C318" s="11"/>
      <c r="D318" s="40"/>
      <c r="E318" s="40"/>
      <c r="F318" s="40"/>
      <c r="G318" s="41"/>
      <c r="H318" s="42"/>
      <c r="I318" s="40"/>
      <c r="J318" s="43"/>
      <c r="K318" s="44" t="str">
        <f aca="false">IF(N(D318)=0,"",E318/D318)</f>
        <v/>
      </c>
      <c r="L318" s="44" t="str">
        <f aca="false">IF(N(E318)=0,"",I318/E318)</f>
        <v/>
      </c>
      <c r="M318" s="45" t="str">
        <f aca="false">IF(N(I318)=0,"",J318/I318)</f>
        <v/>
      </c>
      <c r="N318" s="45" t="str">
        <f aca="false">IF(N(E318)=0,"",J318/E318)</f>
        <v/>
      </c>
      <c r="O318" s="11"/>
    </row>
    <row r="319" customFormat="false" ht="15" hidden="false" customHeight="false" outlineLevel="0" collapsed="false">
      <c r="A319" s="38"/>
      <c r="B319" s="39" t="str">
        <f aca="false">IF(A319="","",CHOOSE(WEEKDAY(A319,2),"Lun","Mar","Mié","Jue","Vie","Sáb","Dom"))</f>
        <v/>
      </c>
      <c r="C319" s="11"/>
      <c r="D319" s="40"/>
      <c r="E319" s="40"/>
      <c r="F319" s="40"/>
      <c r="G319" s="41"/>
      <c r="H319" s="42"/>
      <c r="I319" s="40"/>
      <c r="J319" s="43"/>
      <c r="K319" s="44" t="str">
        <f aca="false">IF(N(D319)=0,"",E319/D319)</f>
        <v/>
      </c>
      <c r="L319" s="44" t="str">
        <f aca="false">IF(N(E319)=0,"",I319/E319)</f>
        <v/>
      </c>
      <c r="M319" s="45" t="str">
        <f aca="false">IF(N(I319)=0,"",J319/I319)</f>
        <v/>
      </c>
      <c r="N319" s="45" t="str">
        <f aca="false">IF(N(E319)=0,"",J319/E319)</f>
        <v/>
      </c>
      <c r="O319" s="11"/>
    </row>
    <row r="320" customFormat="false" ht="15" hidden="false" customHeight="false" outlineLevel="0" collapsed="false">
      <c r="A320" s="38"/>
      <c r="B320" s="39" t="str">
        <f aca="false">IF(A320="","",CHOOSE(WEEKDAY(A320,2),"Lun","Mar","Mié","Jue","Vie","Sáb","Dom"))</f>
        <v/>
      </c>
      <c r="C320" s="11"/>
      <c r="D320" s="40"/>
      <c r="E320" s="40"/>
      <c r="F320" s="40"/>
      <c r="G320" s="41"/>
      <c r="H320" s="42"/>
      <c r="I320" s="40"/>
      <c r="J320" s="43"/>
      <c r="K320" s="44" t="str">
        <f aca="false">IF(N(D320)=0,"",E320/D320)</f>
        <v/>
      </c>
      <c r="L320" s="44" t="str">
        <f aca="false">IF(N(E320)=0,"",I320/E320)</f>
        <v/>
      </c>
      <c r="M320" s="45" t="str">
        <f aca="false">IF(N(I320)=0,"",J320/I320)</f>
        <v/>
      </c>
      <c r="N320" s="45" t="str">
        <f aca="false">IF(N(E320)=0,"",J320/E320)</f>
        <v/>
      </c>
      <c r="O320" s="11"/>
    </row>
    <row r="321" customFormat="false" ht="15" hidden="false" customHeight="false" outlineLevel="0" collapsed="false">
      <c r="A321" s="38"/>
      <c r="B321" s="39" t="str">
        <f aca="false">IF(A321="","",CHOOSE(WEEKDAY(A321,2),"Lun","Mar","Mié","Jue","Vie","Sáb","Dom"))</f>
        <v/>
      </c>
      <c r="C321" s="11"/>
      <c r="D321" s="40"/>
      <c r="E321" s="40"/>
      <c r="F321" s="40"/>
      <c r="G321" s="41"/>
      <c r="H321" s="42"/>
      <c r="I321" s="40"/>
      <c r="J321" s="43"/>
      <c r="K321" s="44" t="str">
        <f aca="false">IF(N(D321)=0,"",E321/D321)</f>
        <v/>
      </c>
      <c r="L321" s="44" t="str">
        <f aca="false">IF(N(E321)=0,"",I321/E321)</f>
        <v/>
      </c>
      <c r="M321" s="45" t="str">
        <f aca="false">IF(N(I321)=0,"",J321/I321)</f>
        <v/>
      </c>
      <c r="N321" s="45" t="str">
        <f aca="false">IF(N(E321)=0,"",J321/E321)</f>
        <v/>
      </c>
      <c r="O321" s="11"/>
    </row>
    <row r="322" customFormat="false" ht="15" hidden="false" customHeight="false" outlineLevel="0" collapsed="false">
      <c r="A322" s="38"/>
      <c r="B322" s="39" t="str">
        <f aca="false">IF(A322="","",CHOOSE(WEEKDAY(A322,2),"Lun","Mar","Mié","Jue","Vie","Sáb","Dom"))</f>
        <v/>
      </c>
      <c r="C322" s="11"/>
      <c r="D322" s="40"/>
      <c r="E322" s="40"/>
      <c r="F322" s="40"/>
      <c r="G322" s="41"/>
      <c r="H322" s="42"/>
      <c r="I322" s="40"/>
      <c r="J322" s="43"/>
      <c r="K322" s="44" t="str">
        <f aca="false">IF(N(D322)=0,"",E322/D322)</f>
        <v/>
      </c>
      <c r="L322" s="44" t="str">
        <f aca="false">IF(N(E322)=0,"",I322/E322)</f>
        <v/>
      </c>
      <c r="M322" s="45" t="str">
        <f aca="false">IF(N(I322)=0,"",J322/I322)</f>
        <v/>
      </c>
      <c r="N322" s="45" t="str">
        <f aca="false">IF(N(E322)=0,"",J322/E322)</f>
        <v/>
      </c>
      <c r="O322" s="11"/>
    </row>
    <row r="323" customFormat="false" ht="15" hidden="false" customHeight="false" outlineLevel="0" collapsed="false">
      <c r="A323" s="38"/>
      <c r="B323" s="39" t="str">
        <f aca="false">IF(A323="","",CHOOSE(WEEKDAY(A323,2),"Lun","Mar","Mié","Jue","Vie","Sáb","Dom"))</f>
        <v/>
      </c>
      <c r="C323" s="11"/>
      <c r="D323" s="40"/>
      <c r="E323" s="40"/>
      <c r="F323" s="40"/>
      <c r="G323" s="41"/>
      <c r="H323" s="42"/>
      <c r="I323" s="40"/>
      <c r="J323" s="43"/>
      <c r="K323" s="44" t="str">
        <f aca="false">IF(N(D323)=0,"",E323/D323)</f>
        <v/>
      </c>
      <c r="L323" s="44" t="str">
        <f aca="false">IF(N(E323)=0,"",I323/E323)</f>
        <v/>
      </c>
      <c r="M323" s="45" t="str">
        <f aca="false">IF(N(I323)=0,"",J323/I323)</f>
        <v/>
      </c>
      <c r="N323" s="45" t="str">
        <f aca="false">IF(N(E323)=0,"",J323/E323)</f>
        <v/>
      </c>
      <c r="O323" s="11"/>
    </row>
    <row r="324" customFormat="false" ht="15" hidden="false" customHeight="false" outlineLevel="0" collapsed="false">
      <c r="A324" s="38"/>
      <c r="B324" s="39" t="str">
        <f aca="false">IF(A324="","",CHOOSE(WEEKDAY(A324,2),"Lun","Mar","Mié","Jue","Vie","Sáb","Dom"))</f>
        <v/>
      </c>
      <c r="C324" s="11"/>
      <c r="D324" s="40"/>
      <c r="E324" s="40"/>
      <c r="F324" s="40"/>
      <c r="G324" s="41"/>
      <c r="H324" s="42"/>
      <c r="I324" s="40"/>
      <c r="J324" s="43"/>
      <c r="K324" s="44" t="str">
        <f aca="false">IF(N(D324)=0,"",E324/D324)</f>
        <v/>
      </c>
      <c r="L324" s="44" t="str">
        <f aca="false">IF(N(E324)=0,"",I324/E324)</f>
        <v/>
      </c>
      <c r="M324" s="45" t="str">
        <f aca="false">IF(N(I324)=0,"",J324/I324)</f>
        <v/>
      </c>
      <c r="N324" s="45" t="str">
        <f aca="false">IF(N(E324)=0,"",J324/E324)</f>
        <v/>
      </c>
      <c r="O324" s="11"/>
    </row>
    <row r="325" customFormat="false" ht="15" hidden="false" customHeight="false" outlineLevel="0" collapsed="false">
      <c r="A325" s="38"/>
      <c r="B325" s="39" t="str">
        <f aca="false">IF(A325="","",CHOOSE(WEEKDAY(A325,2),"Lun","Mar","Mié","Jue","Vie","Sáb","Dom"))</f>
        <v/>
      </c>
      <c r="C325" s="11"/>
      <c r="D325" s="40"/>
      <c r="E325" s="40"/>
      <c r="F325" s="40"/>
      <c r="G325" s="41"/>
      <c r="H325" s="42"/>
      <c r="I325" s="40"/>
      <c r="J325" s="43"/>
      <c r="K325" s="44" t="str">
        <f aca="false">IF(N(D325)=0,"",E325/D325)</f>
        <v/>
      </c>
      <c r="L325" s="44" t="str">
        <f aca="false">IF(N(E325)=0,"",I325/E325)</f>
        <v/>
      </c>
      <c r="M325" s="45" t="str">
        <f aca="false">IF(N(I325)=0,"",J325/I325)</f>
        <v/>
      </c>
      <c r="N325" s="45" t="str">
        <f aca="false">IF(N(E325)=0,"",J325/E325)</f>
        <v/>
      </c>
      <c r="O325" s="11"/>
    </row>
    <row r="326" customFormat="false" ht="15" hidden="false" customHeight="false" outlineLevel="0" collapsed="false">
      <c r="A326" s="38"/>
      <c r="B326" s="39" t="str">
        <f aca="false">IF(A326="","",CHOOSE(WEEKDAY(A326,2),"Lun","Mar","Mié","Jue","Vie","Sáb","Dom"))</f>
        <v/>
      </c>
      <c r="C326" s="11"/>
      <c r="D326" s="40"/>
      <c r="E326" s="40"/>
      <c r="F326" s="40"/>
      <c r="G326" s="41"/>
      <c r="H326" s="42"/>
      <c r="I326" s="40"/>
      <c r="J326" s="43"/>
      <c r="K326" s="44" t="str">
        <f aca="false">IF(N(D326)=0,"",E326/D326)</f>
        <v/>
      </c>
      <c r="L326" s="44" t="str">
        <f aca="false">IF(N(E326)=0,"",I326/E326)</f>
        <v/>
      </c>
      <c r="M326" s="45" t="str">
        <f aca="false">IF(N(I326)=0,"",J326/I326)</f>
        <v/>
      </c>
      <c r="N326" s="45" t="str">
        <f aca="false">IF(N(E326)=0,"",J326/E326)</f>
        <v/>
      </c>
      <c r="O326" s="11"/>
    </row>
    <row r="327" customFormat="false" ht="15" hidden="false" customHeight="false" outlineLevel="0" collapsed="false">
      <c r="A327" s="38"/>
      <c r="B327" s="39" t="str">
        <f aca="false">IF(A327="","",CHOOSE(WEEKDAY(A327,2),"Lun","Mar","Mié","Jue","Vie","Sáb","Dom"))</f>
        <v/>
      </c>
      <c r="C327" s="11"/>
      <c r="D327" s="40"/>
      <c r="E327" s="40"/>
      <c r="F327" s="40"/>
      <c r="G327" s="41"/>
      <c r="H327" s="42"/>
      <c r="I327" s="40"/>
      <c r="J327" s="43"/>
      <c r="K327" s="44" t="str">
        <f aca="false">IF(N(D327)=0,"",E327/D327)</f>
        <v/>
      </c>
      <c r="L327" s="44" t="str">
        <f aca="false">IF(N(E327)=0,"",I327/E327)</f>
        <v/>
      </c>
      <c r="M327" s="45" t="str">
        <f aca="false">IF(N(I327)=0,"",J327/I327)</f>
        <v/>
      </c>
      <c r="N327" s="45" t="str">
        <f aca="false">IF(N(E327)=0,"",J327/E327)</f>
        <v/>
      </c>
      <c r="O327" s="11"/>
    </row>
    <row r="328" customFormat="false" ht="15" hidden="false" customHeight="false" outlineLevel="0" collapsed="false">
      <c r="A328" s="38"/>
      <c r="B328" s="39" t="str">
        <f aca="false">IF(A328="","",CHOOSE(WEEKDAY(A328,2),"Lun","Mar","Mié","Jue","Vie","Sáb","Dom"))</f>
        <v/>
      </c>
      <c r="C328" s="11"/>
      <c r="D328" s="40"/>
      <c r="E328" s="40"/>
      <c r="F328" s="40"/>
      <c r="G328" s="41"/>
      <c r="H328" s="42"/>
      <c r="I328" s="40"/>
      <c r="J328" s="43"/>
      <c r="K328" s="44" t="str">
        <f aca="false">IF(N(D328)=0,"",E328/D328)</f>
        <v/>
      </c>
      <c r="L328" s="44" t="str">
        <f aca="false">IF(N(E328)=0,"",I328/E328)</f>
        <v/>
      </c>
      <c r="M328" s="45" t="str">
        <f aca="false">IF(N(I328)=0,"",J328/I328)</f>
        <v/>
      </c>
      <c r="N328" s="45" t="str">
        <f aca="false">IF(N(E328)=0,"",J328/E328)</f>
        <v/>
      </c>
      <c r="O328" s="11"/>
    </row>
    <row r="329" customFormat="false" ht="15" hidden="false" customHeight="false" outlineLevel="0" collapsed="false">
      <c r="A329" s="38"/>
      <c r="B329" s="39" t="str">
        <f aca="false">IF(A329="","",CHOOSE(WEEKDAY(A329,2),"Lun","Mar","Mié","Jue","Vie","Sáb","Dom"))</f>
        <v/>
      </c>
      <c r="C329" s="11"/>
      <c r="D329" s="40"/>
      <c r="E329" s="40"/>
      <c r="F329" s="40"/>
      <c r="G329" s="41"/>
      <c r="H329" s="42"/>
      <c r="I329" s="40"/>
      <c r="J329" s="43"/>
      <c r="K329" s="44" t="str">
        <f aca="false">IF(N(D329)=0,"",E329/D329)</f>
        <v/>
      </c>
      <c r="L329" s="44" t="str">
        <f aca="false">IF(N(E329)=0,"",I329/E329)</f>
        <v/>
      </c>
      <c r="M329" s="45" t="str">
        <f aca="false">IF(N(I329)=0,"",J329/I329)</f>
        <v/>
      </c>
      <c r="N329" s="45" t="str">
        <f aca="false">IF(N(E329)=0,"",J329/E329)</f>
        <v/>
      </c>
      <c r="O329" s="11"/>
    </row>
    <row r="330" customFormat="false" ht="15" hidden="false" customHeight="false" outlineLevel="0" collapsed="false">
      <c r="A330" s="38"/>
      <c r="B330" s="39" t="str">
        <f aca="false">IF(A330="","",CHOOSE(WEEKDAY(A330,2),"Lun","Mar","Mié","Jue","Vie","Sáb","Dom"))</f>
        <v/>
      </c>
      <c r="C330" s="11"/>
      <c r="D330" s="40"/>
      <c r="E330" s="40"/>
      <c r="F330" s="40"/>
      <c r="G330" s="41"/>
      <c r="H330" s="42"/>
      <c r="I330" s="40"/>
      <c r="J330" s="43"/>
      <c r="K330" s="44" t="str">
        <f aca="false">IF(N(D330)=0,"",E330/D330)</f>
        <v/>
      </c>
      <c r="L330" s="44" t="str">
        <f aca="false">IF(N(E330)=0,"",I330/E330)</f>
        <v/>
      </c>
      <c r="M330" s="45" t="str">
        <f aca="false">IF(N(I330)=0,"",J330/I330)</f>
        <v/>
      </c>
      <c r="N330" s="45" t="str">
        <f aca="false">IF(N(E330)=0,"",J330/E330)</f>
        <v/>
      </c>
      <c r="O330" s="11"/>
    </row>
    <row r="331" customFormat="false" ht="15" hidden="false" customHeight="false" outlineLevel="0" collapsed="false">
      <c r="A331" s="38"/>
      <c r="B331" s="39" t="str">
        <f aca="false">IF(A331="","",CHOOSE(WEEKDAY(A331,2),"Lun","Mar","Mié","Jue","Vie","Sáb","Dom"))</f>
        <v/>
      </c>
      <c r="C331" s="11"/>
      <c r="D331" s="40"/>
      <c r="E331" s="40"/>
      <c r="F331" s="40"/>
      <c r="G331" s="41"/>
      <c r="H331" s="42"/>
      <c r="I331" s="40"/>
      <c r="J331" s="43"/>
      <c r="K331" s="44" t="str">
        <f aca="false">IF(N(D331)=0,"",E331/D331)</f>
        <v/>
      </c>
      <c r="L331" s="44" t="str">
        <f aca="false">IF(N(E331)=0,"",I331/E331)</f>
        <v/>
      </c>
      <c r="M331" s="45" t="str">
        <f aca="false">IF(N(I331)=0,"",J331/I331)</f>
        <v/>
      </c>
      <c r="N331" s="45" t="str">
        <f aca="false">IF(N(E331)=0,"",J331/E331)</f>
        <v/>
      </c>
      <c r="O331" s="11"/>
    </row>
    <row r="332" customFormat="false" ht="15" hidden="false" customHeight="false" outlineLevel="0" collapsed="false">
      <c r="A332" s="38"/>
      <c r="B332" s="39" t="str">
        <f aca="false">IF(A332="","",CHOOSE(WEEKDAY(A332,2),"Lun","Mar","Mié","Jue","Vie","Sáb","Dom"))</f>
        <v/>
      </c>
      <c r="C332" s="11"/>
      <c r="D332" s="40"/>
      <c r="E332" s="40"/>
      <c r="F332" s="40"/>
      <c r="G332" s="41"/>
      <c r="H332" s="42"/>
      <c r="I332" s="40"/>
      <c r="J332" s="43"/>
      <c r="K332" s="44" t="str">
        <f aca="false">IF(N(D332)=0,"",E332/D332)</f>
        <v/>
      </c>
      <c r="L332" s="44" t="str">
        <f aca="false">IF(N(E332)=0,"",I332/E332)</f>
        <v/>
      </c>
      <c r="M332" s="45" t="str">
        <f aca="false">IF(N(I332)=0,"",J332/I332)</f>
        <v/>
      </c>
      <c r="N332" s="45" t="str">
        <f aca="false">IF(N(E332)=0,"",J332/E332)</f>
        <v/>
      </c>
      <c r="O332" s="11"/>
    </row>
    <row r="333" customFormat="false" ht="15" hidden="false" customHeight="false" outlineLevel="0" collapsed="false">
      <c r="A333" s="38"/>
      <c r="B333" s="39" t="str">
        <f aca="false">IF(A333="","",CHOOSE(WEEKDAY(A333,2),"Lun","Mar","Mié","Jue","Vie","Sáb","Dom"))</f>
        <v/>
      </c>
      <c r="C333" s="11"/>
      <c r="D333" s="40"/>
      <c r="E333" s="40"/>
      <c r="F333" s="40"/>
      <c r="G333" s="41"/>
      <c r="H333" s="42"/>
      <c r="I333" s="40"/>
      <c r="J333" s="43"/>
      <c r="K333" s="44" t="str">
        <f aca="false">IF(N(D333)=0,"",E333/D333)</f>
        <v/>
      </c>
      <c r="L333" s="44" t="str">
        <f aca="false">IF(N(E333)=0,"",I333/E333)</f>
        <v/>
      </c>
      <c r="M333" s="45" t="str">
        <f aca="false">IF(N(I333)=0,"",J333/I333)</f>
        <v/>
      </c>
      <c r="N333" s="45" t="str">
        <f aca="false">IF(N(E333)=0,"",J333/E333)</f>
        <v/>
      </c>
      <c r="O333" s="11"/>
    </row>
    <row r="334" customFormat="false" ht="15" hidden="false" customHeight="false" outlineLevel="0" collapsed="false">
      <c r="A334" s="38"/>
      <c r="B334" s="39" t="str">
        <f aca="false">IF(A334="","",CHOOSE(WEEKDAY(A334,2),"Lun","Mar","Mié","Jue","Vie","Sáb","Dom"))</f>
        <v/>
      </c>
      <c r="C334" s="11"/>
      <c r="D334" s="40"/>
      <c r="E334" s="40"/>
      <c r="F334" s="40"/>
      <c r="G334" s="41"/>
      <c r="H334" s="42"/>
      <c r="I334" s="40"/>
      <c r="J334" s="43"/>
      <c r="K334" s="44" t="str">
        <f aca="false">IF(N(D334)=0,"",E334/D334)</f>
        <v/>
      </c>
      <c r="L334" s="44" t="str">
        <f aca="false">IF(N(E334)=0,"",I334/E334)</f>
        <v/>
      </c>
      <c r="M334" s="45" t="str">
        <f aca="false">IF(N(I334)=0,"",J334/I334)</f>
        <v/>
      </c>
      <c r="N334" s="45" t="str">
        <f aca="false">IF(N(E334)=0,"",J334/E334)</f>
        <v/>
      </c>
      <c r="O334" s="11"/>
    </row>
    <row r="335" customFormat="false" ht="15" hidden="false" customHeight="false" outlineLevel="0" collapsed="false">
      <c r="A335" s="38"/>
      <c r="B335" s="39" t="str">
        <f aca="false">IF(A335="","",CHOOSE(WEEKDAY(A335,2),"Lun","Mar","Mié","Jue","Vie","Sáb","Dom"))</f>
        <v/>
      </c>
      <c r="C335" s="11"/>
      <c r="D335" s="40"/>
      <c r="E335" s="40"/>
      <c r="F335" s="40"/>
      <c r="G335" s="41"/>
      <c r="H335" s="42"/>
      <c r="I335" s="40"/>
      <c r="J335" s="43"/>
      <c r="K335" s="44" t="str">
        <f aca="false">IF(N(D335)=0,"",E335/D335)</f>
        <v/>
      </c>
      <c r="L335" s="44" t="str">
        <f aca="false">IF(N(E335)=0,"",I335/E335)</f>
        <v/>
      </c>
      <c r="M335" s="45" t="str">
        <f aca="false">IF(N(I335)=0,"",J335/I335)</f>
        <v/>
      </c>
      <c r="N335" s="45" t="str">
        <f aca="false">IF(N(E335)=0,"",J335/E335)</f>
        <v/>
      </c>
      <c r="O335" s="11"/>
    </row>
    <row r="336" customFormat="false" ht="15" hidden="false" customHeight="false" outlineLevel="0" collapsed="false">
      <c r="A336" s="38"/>
      <c r="B336" s="39" t="str">
        <f aca="false">IF(A336="","",CHOOSE(WEEKDAY(A336,2),"Lun","Mar","Mié","Jue","Vie","Sáb","Dom"))</f>
        <v/>
      </c>
      <c r="C336" s="11"/>
      <c r="D336" s="40"/>
      <c r="E336" s="40"/>
      <c r="F336" s="40"/>
      <c r="G336" s="41"/>
      <c r="H336" s="42"/>
      <c r="I336" s="40"/>
      <c r="J336" s="43"/>
      <c r="K336" s="44" t="str">
        <f aca="false">IF(N(D336)=0,"",E336/D336)</f>
        <v/>
      </c>
      <c r="L336" s="44" t="str">
        <f aca="false">IF(N(E336)=0,"",I336/E336)</f>
        <v/>
      </c>
      <c r="M336" s="45" t="str">
        <f aca="false">IF(N(I336)=0,"",J336/I336)</f>
        <v/>
      </c>
      <c r="N336" s="45" t="str">
        <f aca="false">IF(N(E336)=0,"",J336/E336)</f>
        <v/>
      </c>
      <c r="O336" s="11"/>
    </row>
    <row r="337" customFormat="false" ht="15" hidden="false" customHeight="false" outlineLevel="0" collapsed="false">
      <c r="A337" s="38"/>
      <c r="B337" s="39" t="str">
        <f aca="false">IF(A337="","",CHOOSE(WEEKDAY(A337,2),"Lun","Mar","Mié","Jue","Vie","Sáb","Dom"))</f>
        <v/>
      </c>
      <c r="C337" s="11"/>
      <c r="D337" s="40"/>
      <c r="E337" s="40"/>
      <c r="F337" s="40"/>
      <c r="G337" s="41"/>
      <c r="H337" s="42"/>
      <c r="I337" s="40"/>
      <c r="J337" s="43"/>
      <c r="K337" s="44" t="str">
        <f aca="false">IF(N(D337)=0,"",E337/D337)</f>
        <v/>
      </c>
      <c r="L337" s="44" t="str">
        <f aca="false">IF(N(E337)=0,"",I337/E337)</f>
        <v/>
      </c>
      <c r="M337" s="45" t="str">
        <f aca="false">IF(N(I337)=0,"",J337/I337)</f>
        <v/>
      </c>
      <c r="N337" s="45" t="str">
        <f aca="false">IF(N(E337)=0,"",J337/E337)</f>
        <v/>
      </c>
      <c r="O337" s="11"/>
    </row>
    <row r="338" customFormat="false" ht="15" hidden="false" customHeight="false" outlineLevel="0" collapsed="false">
      <c r="A338" s="38"/>
      <c r="B338" s="39" t="str">
        <f aca="false">IF(A338="","",CHOOSE(WEEKDAY(A338,2),"Lun","Mar","Mié","Jue","Vie","Sáb","Dom"))</f>
        <v/>
      </c>
      <c r="C338" s="11"/>
      <c r="D338" s="40"/>
      <c r="E338" s="40"/>
      <c r="F338" s="40"/>
      <c r="G338" s="41"/>
      <c r="H338" s="42"/>
      <c r="I338" s="40"/>
      <c r="J338" s="43"/>
      <c r="K338" s="44" t="str">
        <f aca="false">IF(N(D338)=0,"",E338/D338)</f>
        <v/>
      </c>
      <c r="L338" s="44" t="str">
        <f aca="false">IF(N(E338)=0,"",I338/E338)</f>
        <v/>
      </c>
      <c r="M338" s="45" t="str">
        <f aca="false">IF(N(I338)=0,"",J338/I338)</f>
        <v/>
      </c>
      <c r="N338" s="45" t="str">
        <f aca="false">IF(N(E338)=0,"",J338/E338)</f>
        <v/>
      </c>
      <c r="O338" s="11"/>
    </row>
    <row r="339" customFormat="false" ht="15" hidden="false" customHeight="false" outlineLevel="0" collapsed="false">
      <c r="A339" s="38"/>
      <c r="B339" s="39" t="str">
        <f aca="false">IF(A339="","",CHOOSE(WEEKDAY(A339,2),"Lun","Mar","Mié","Jue","Vie","Sáb","Dom"))</f>
        <v/>
      </c>
      <c r="C339" s="11"/>
      <c r="D339" s="40"/>
      <c r="E339" s="40"/>
      <c r="F339" s="40"/>
      <c r="G339" s="41"/>
      <c r="H339" s="42"/>
      <c r="I339" s="40"/>
      <c r="J339" s="43"/>
      <c r="K339" s="44" t="str">
        <f aca="false">IF(N(D339)=0,"",E339/D339)</f>
        <v/>
      </c>
      <c r="L339" s="44" t="str">
        <f aca="false">IF(N(E339)=0,"",I339/E339)</f>
        <v/>
      </c>
      <c r="M339" s="45" t="str">
        <f aca="false">IF(N(I339)=0,"",J339/I339)</f>
        <v/>
      </c>
      <c r="N339" s="45" t="str">
        <f aca="false">IF(N(E339)=0,"",J339/E339)</f>
        <v/>
      </c>
      <c r="O339" s="11"/>
    </row>
    <row r="340" customFormat="false" ht="15" hidden="false" customHeight="false" outlineLevel="0" collapsed="false">
      <c r="A340" s="38"/>
      <c r="B340" s="39" t="str">
        <f aca="false">IF(A340="","",CHOOSE(WEEKDAY(A340,2),"Lun","Mar","Mié","Jue","Vie","Sáb","Dom"))</f>
        <v/>
      </c>
      <c r="C340" s="11"/>
      <c r="D340" s="40"/>
      <c r="E340" s="40"/>
      <c r="F340" s="40"/>
      <c r="G340" s="41"/>
      <c r="H340" s="42"/>
      <c r="I340" s="40"/>
      <c r="J340" s="43"/>
      <c r="K340" s="44" t="str">
        <f aca="false">IF(N(D340)=0,"",E340/D340)</f>
        <v/>
      </c>
      <c r="L340" s="44" t="str">
        <f aca="false">IF(N(E340)=0,"",I340/E340)</f>
        <v/>
      </c>
      <c r="M340" s="45" t="str">
        <f aca="false">IF(N(I340)=0,"",J340/I340)</f>
        <v/>
      </c>
      <c r="N340" s="45" t="str">
        <f aca="false">IF(N(E340)=0,"",J340/E340)</f>
        <v/>
      </c>
      <c r="O340" s="11"/>
    </row>
    <row r="341" customFormat="false" ht="15" hidden="false" customHeight="false" outlineLevel="0" collapsed="false">
      <c r="A341" s="38"/>
      <c r="B341" s="39" t="str">
        <f aca="false">IF(A341="","",CHOOSE(WEEKDAY(A341,2),"Lun","Mar","Mié","Jue","Vie","Sáb","Dom"))</f>
        <v/>
      </c>
      <c r="C341" s="11"/>
      <c r="D341" s="40"/>
      <c r="E341" s="40"/>
      <c r="F341" s="40"/>
      <c r="G341" s="41"/>
      <c r="H341" s="42"/>
      <c r="I341" s="40"/>
      <c r="J341" s="43"/>
      <c r="K341" s="44" t="str">
        <f aca="false">IF(N(D341)=0,"",E341/D341)</f>
        <v/>
      </c>
      <c r="L341" s="44" t="str">
        <f aca="false">IF(N(E341)=0,"",I341/E341)</f>
        <v/>
      </c>
      <c r="M341" s="45" t="str">
        <f aca="false">IF(N(I341)=0,"",J341/I341)</f>
        <v/>
      </c>
      <c r="N341" s="45" t="str">
        <f aca="false">IF(N(E341)=0,"",J341/E341)</f>
        <v/>
      </c>
      <c r="O341" s="11"/>
    </row>
    <row r="342" customFormat="false" ht="15" hidden="false" customHeight="false" outlineLevel="0" collapsed="false">
      <c r="A342" s="38"/>
      <c r="B342" s="39" t="str">
        <f aca="false">IF(A342="","",CHOOSE(WEEKDAY(A342,2),"Lun","Mar","Mié","Jue","Vie","Sáb","Dom"))</f>
        <v/>
      </c>
      <c r="C342" s="11"/>
      <c r="D342" s="40"/>
      <c r="E342" s="40"/>
      <c r="F342" s="40"/>
      <c r="G342" s="41"/>
      <c r="H342" s="42"/>
      <c r="I342" s="40"/>
      <c r="J342" s="43"/>
      <c r="K342" s="44" t="str">
        <f aca="false">IF(N(D342)=0,"",E342/D342)</f>
        <v/>
      </c>
      <c r="L342" s="44" t="str">
        <f aca="false">IF(N(E342)=0,"",I342/E342)</f>
        <v/>
      </c>
      <c r="M342" s="45" t="str">
        <f aca="false">IF(N(I342)=0,"",J342/I342)</f>
        <v/>
      </c>
      <c r="N342" s="45" t="str">
        <f aca="false">IF(N(E342)=0,"",J342/E342)</f>
        <v/>
      </c>
      <c r="O342" s="11"/>
    </row>
    <row r="343" customFormat="false" ht="15" hidden="false" customHeight="false" outlineLevel="0" collapsed="false">
      <c r="A343" s="38"/>
      <c r="B343" s="39" t="str">
        <f aca="false">IF(A343="","",CHOOSE(WEEKDAY(A343,2),"Lun","Mar","Mié","Jue","Vie","Sáb","Dom"))</f>
        <v/>
      </c>
      <c r="C343" s="11"/>
      <c r="D343" s="40"/>
      <c r="E343" s="40"/>
      <c r="F343" s="40"/>
      <c r="G343" s="41"/>
      <c r="H343" s="42"/>
      <c r="I343" s="40"/>
      <c r="J343" s="43"/>
      <c r="K343" s="44" t="str">
        <f aca="false">IF(N(D343)=0,"",E343/D343)</f>
        <v/>
      </c>
      <c r="L343" s="44" t="str">
        <f aca="false">IF(N(E343)=0,"",I343/E343)</f>
        <v/>
      </c>
      <c r="M343" s="45" t="str">
        <f aca="false">IF(N(I343)=0,"",J343/I343)</f>
        <v/>
      </c>
      <c r="N343" s="45" t="str">
        <f aca="false">IF(N(E343)=0,"",J343/E343)</f>
        <v/>
      </c>
      <c r="O343" s="11"/>
    </row>
    <row r="344" customFormat="false" ht="15" hidden="false" customHeight="false" outlineLevel="0" collapsed="false">
      <c r="A344" s="38"/>
      <c r="B344" s="39" t="str">
        <f aca="false">IF(A344="","",CHOOSE(WEEKDAY(A344,2),"Lun","Mar","Mié","Jue","Vie","Sáb","Dom"))</f>
        <v/>
      </c>
      <c r="C344" s="11"/>
      <c r="D344" s="40"/>
      <c r="E344" s="40"/>
      <c r="F344" s="40"/>
      <c r="G344" s="41"/>
      <c r="H344" s="42"/>
      <c r="I344" s="40"/>
      <c r="J344" s="43"/>
      <c r="K344" s="44" t="str">
        <f aca="false">IF(N(D344)=0,"",E344/D344)</f>
        <v/>
      </c>
      <c r="L344" s="44" t="str">
        <f aca="false">IF(N(E344)=0,"",I344/E344)</f>
        <v/>
      </c>
      <c r="M344" s="45" t="str">
        <f aca="false">IF(N(I344)=0,"",J344/I344)</f>
        <v/>
      </c>
      <c r="N344" s="45" t="str">
        <f aca="false">IF(N(E344)=0,"",J344/E344)</f>
        <v/>
      </c>
      <c r="O344" s="11"/>
    </row>
    <row r="345" customFormat="false" ht="15" hidden="false" customHeight="false" outlineLevel="0" collapsed="false">
      <c r="A345" s="38"/>
      <c r="B345" s="39" t="str">
        <f aca="false">IF(A345="","",CHOOSE(WEEKDAY(A345,2),"Lun","Mar","Mié","Jue","Vie","Sáb","Dom"))</f>
        <v/>
      </c>
      <c r="C345" s="11"/>
      <c r="D345" s="40"/>
      <c r="E345" s="40"/>
      <c r="F345" s="40"/>
      <c r="G345" s="41"/>
      <c r="H345" s="42"/>
      <c r="I345" s="40"/>
      <c r="J345" s="43"/>
      <c r="K345" s="44" t="str">
        <f aca="false">IF(N(D345)=0,"",E345/D345)</f>
        <v/>
      </c>
      <c r="L345" s="44" t="str">
        <f aca="false">IF(N(E345)=0,"",I345/E345)</f>
        <v/>
      </c>
      <c r="M345" s="45" t="str">
        <f aca="false">IF(N(I345)=0,"",J345/I345)</f>
        <v/>
      </c>
      <c r="N345" s="45" t="str">
        <f aca="false">IF(N(E345)=0,"",J345/E345)</f>
        <v/>
      </c>
      <c r="O345" s="11"/>
    </row>
    <row r="346" customFormat="false" ht="15" hidden="false" customHeight="false" outlineLevel="0" collapsed="false">
      <c r="A346" s="38"/>
      <c r="B346" s="39" t="str">
        <f aca="false">IF(A346="","",CHOOSE(WEEKDAY(A346,2),"Lun","Mar","Mié","Jue","Vie","Sáb","Dom"))</f>
        <v/>
      </c>
      <c r="C346" s="11"/>
      <c r="D346" s="40"/>
      <c r="E346" s="40"/>
      <c r="F346" s="40"/>
      <c r="G346" s="41"/>
      <c r="H346" s="42"/>
      <c r="I346" s="40"/>
      <c r="J346" s="43"/>
      <c r="K346" s="44" t="str">
        <f aca="false">IF(N(D346)=0,"",E346/D346)</f>
        <v/>
      </c>
      <c r="L346" s="44" t="str">
        <f aca="false">IF(N(E346)=0,"",I346/E346)</f>
        <v/>
      </c>
      <c r="M346" s="45" t="str">
        <f aca="false">IF(N(I346)=0,"",J346/I346)</f>
        <v/>
      </c>
      <c r="N346" s="45" t="str">
        <f aca="false">IF(N(E346)=0,"",J346/E346)</f>
        <v/>
      </c>
      <c r="O346" s="11"/>
    </row>
    <row r="347" customFormat="false" ht="15" hidden="false" customHeight="false" outlineLevel="0" collapsed="false">
      <c r="A347" s="38"/>
      <c r="B347" s="39" t="str">
        <f aca="false">IF(A347="","",CHOOSE(WEEKDAY(A347,2),"Lun","Mar","Mié","Jue","Vie","Sáb","Dom"))</f>
        <v/>
      </c>
      <c r="C347" s="11"/>
      <c r="D347" s="40"/>
      <c r="E347" s="40"/>
      <c r="F347" s="40"/>
      <c r="G347" s="41"/>
      <c r="H347" s="42"/>
      <c r="I347" s="40"/>
      <c r="J347" s="43"/>
      <c r="K347" s="44" t="str">
        <f aca="false">IF(N(D347)=0,"",E347/D347)</f>
        <v/>
      </c>
      <c r="L347" s="44" t="str">
        <f aca="false">IF(N(E347)=0,"",I347/E347)</f>
        <v/>
      </c>
      <c r="M347" s="45" t="str">
        <f aca="false">IF(N(I347)=0,"",J347/I347)</f>
        <v/>
      </c>
      <c r="N347" s="45" t="str">
        <f aca="false">IF(N(E347)=0,"",J347/E347)</f>
        <v/>
      </c>
      <c r="O347" s="11"/>
    </row>
    <row r="348" customFormat="false" ht="15" hidden="false" customHeight="false" outlineLevel="0" collapsed="false">
      <c r="A348" s="38"/>
      <c r="B348" s="39" t="str">
        <f aca="false">IF(A348="","",CHOOSE(WEEKDAY(A348,2),"Lun","Mar","Mié","Jue","Vie","Sáb","Dom"))</f>
        <v/>
      </c>
      <c r="C348" s="11"/>
      <c r="D348" s="40"/>
      <c r="E348" s="40"/>
      <c r="F348" s="40"/>
      <c r="G348" s="41"/>
      <c r="H348" s="42"/>
      <c r="I348" s="40"/>
      <c r="J348" s="43"/>
      <c r="K348" s="44" t="str">
        <f aca="false">IF(N(D348)=0,"",E348/D348)</f>
        <v/>
      </c>
      <c r="L348" s="44" t="str">
        <f aca="false">IF(N(E348)=0,"",I348/E348)</f>
        <v/>
      </c>
      <c r="M348" s="45" t="str">
        <f aca="false">IF(N(I348)=0,"",J348/I348)</f>
        <v/>
      </c>
      <c r="N348" s="45" t="str">
        <f aca="false">IF(N(E348)=0,"",J348/E348)</f>
        <v/>
      </c>
      <c r="O348" s="11"/>
    </row>
    <row r="349" customFormat="false" ht="15" hidden="false" customHeight="false" outlineLevel="0" collapsed="false">
      <c r="A349" s="38"/>
      <c r="B349" s="39" t="str">
        <f aca="false">IF(A349="","",CHOOSE(WEEKDAY(A349,2),"Lun","Mar","Mié","Jue","Vie","Sáb","Dom"))</f>
        <v/>
      </c>
      <c r="C349" s="11"/>
      <c r="D349" s="40"/>
      <c r="E349" s="40"/>
      <c r="F349" s="40"/>
      <c r="G349" s="41"/>
      <c r="H349" s="42"/>
      <c r="I349" s="40"/>
      <c r="J349" s="43"/>
      <c r="K349" s="44" t="str">
        <f aca="false">IF(N(D349)=0,"",E349/D349)</f>
        <v/>
      </c>
      <c r="L349" s="44" t="str">
        <f aca="false">IF(N(E349)=0,"",I349/E349)</f>
        <v/>
      </c>
      <c r="M349" s="45" t="str">
        <f aca="false">IF(N(I349)=0,"",J349/I349)</f>
        <v/>
      </c>
      <c r="N349" s="45" t="str">
        <f aca="false">IF(N(E349)=0,"",J349/E349)</f>
        <v/>
      </c>
      <c r="O349" s="11"/>
    </row>
    <row r="350" customFormat="false" ht="15" hidden="false" customHeight="false" outlineLevel="0" collapsed="false">
      <c r="A350" s="38"/>
      <c r="B350" s="39" t="str">
        <f aca="false">IF(A350="","",CHOOSE(WEEKDAY(A350,2),"Lun","Mar","Mié","Jue","Vie","Sáb","Dom"))</f>
        <v/>
      </c>
      <c r="C350" s="11"/>
      <c r="D350" s="40"/>
      <c r="E350" s="40"/>
      <c r="F350" s="40"/>
      <c r="G350" s="41"/>
      <c r="H350" s="42"/>
      <c r="I350" s="40"/>
      <c r="J350" s="43"/>
      <c r="K350" s="44" t="str">
        <f aca="false">IF(N(D350)=0,"",E350/D350)</f>
        <v/>
      </c>
      <c r="L350" s="44" t="str">
        <f aca="false">IF(N(E350)=0,"",I350/E350)</f>
        <v/>
      </c>
      <c r="M350" s="45" t="str">
        <f aca="false">IF(N(I350)=0,"",J350/I350)</f>
        <v/>
      </c>
      <c r="N350" s="45" t="str">
        <f aca="false">IF(N(E350)=0,"",J350/E350)</f>
        <v/>
      </c>
      <c r="O350" s="11"/>
    </row>
    <row r="351" customFormat="false" ht="15" hidden="false" customHeight="false" outlineLevel="0" collapsed="false">
      <c r="A351" s="38"/>
      <c r="B351" s="39" t="str">
        <f aca="false">IF(A351="","",CHOOSE(WEEKDAY(A351,2),"Lun","Mar","Mié","Jue","Vie","Sáb","Dom"))</f>
        <v/>
      </c>
      <c r="C351" s="11"/>
      <c r="D351" s="40"/>
      <c r="E351" s="40"/>
      <c r="F351" s="40"/>
      <c r="G351" s="41"/>
      <c r="H351" s="42"/>
      <c r="I351" s="40"/>
      <c r="J351" s="43"/>
      <c r="K351" s="44" t="str">
        <f aca="false">IF(N(D351)=0,"",E351/D351)</f>
        <v/>
      </c>
      <c r="L351" s="44" t="str">
        <f aca="false">IF(N(E351)=0,"",I351/E351)</f>
        <v/>
      </c>
      <c r="M351" s="45" t="str">
        <f aca="false">IF(N(I351)=0,"",J351/I351)</f>
        <v/>
      </c>
      <c r="N351" s="45" t="str">
        <f aca="false">IF(N(E351)=0,"",J351/E351)</f>
        <v/>
      </c>
      <c r="O351" s="11"/>
    </row>
    <row r="352" customFormat="false" ht="15" hidden="false" customHeight="false" outlineLevel="0" collapsed="false">
      <c r="A352" s="38"/>
      <c r="B352" s="39" t="str">
        <f aca="false">IF(A352="","",CHOOSE(WEEKDAY(A352,2),"Lun","Mar","Mié","Jue","Vie","Sáb","Dom"))</f>
        <v/>
      </c>
      <c r="C352" s="11"/>
      <c r="D352" s="40"/>
      <c r="E352" s="40"/>
      <c r="F352" s="40"/>
      <c r="G352" s="41"/>
      <c r="H352" s="42"/>
      <c r="I352" s="40"/>
      <c r="J352" s="43"/>
      <c r="K352" s="44" t="str">
        <f aca="false">IF(N(D352)=0,"",E352/D352)</f>
        <v/>
      </c>
      <c r="L352" s="44" t="str">
        <f aca="false">IF(N(E352)=0,"",I352/E352)</f>
        <v/>
      </c>
      <c r="M352" s="45" t="str">
        <f aca="false">IF(N(I352)=0,"",J352/I352)</f>
        <v/>
      </c>
      <c r="N352" s="45" t="str">
        <f aca="false">IF(N(E352)=0,"",J352/E352)</f>
        <v/>
      </c>
      <c r="O352" s="11"/>
    </row>
    <row r="353" customFormat="false" ht="15" hidden="false" customHeight="false" outlineLevel="0" collapsed="false">
      <c r="A353" s="38"/>
      <c r="B353" s="39" t="str">
        <f aca="false">IF(A353="","",CHOOSE(WEEKDAY(A353,2),"Lun","Mar","Mié","Jue","Vie","Sáb","Dom"))</f>
        <v/>
      </c>
      <c r="C353" s="11"/>
      <c r="D353" s="40"/>
      <c r="E353" s="40"/>
      <c r="F353" s="40"/>
      <c r="G353" s="41"/>
      <c r="H353" s="42"/>
      <c r="I353" s="40"/>
      <c r="J353" s="43"/>
      <c r="K353" s="44" t="str">
        <f aca="false">IF(N(D353)=0,"",E353/D353)</f>
        <v/>
      </c>
      <c r="L353" s="44" t="str">
        <f aca="false">IF(N(E353)=0,"",I353/E353)</f>
        <v/>
      </c>
      <c r="M353" s="45" t="str">
        <f aca="false">IF(N(I353)=0,"",J353/I353)</f>
        <v/>
      </c>
      <c r="N353" s="45" t="str">
        <f aca="false">IF(N(E353)=0,"",J353/E353)</f>
        <v/>
      </c>
      <c r="O353" s="11"/>
    </row>
    <row r="354" customFormat="false" ht="15" hidden="false" customHeight="false" outlineLevel="0" collapsed="false">
      <c r="A354" s="38"/>
      <c r="B354" s="39" t="str">
        <f aca="false">IF(A354="","",CHOOSE(WEEKDAY(A354,2),"Lun","Mar","Mié","Jue","Vie","Sáb","Dom"))</f>
        <v/>
      </c>
      <c r="C354" s="11"/>
      <c r="D354" s="40"/>
      <c r="E354" s="40"/>
      <c r="F354" s="40"/>
      <c r="G354" s="41"/>
      <c r="H354" s="42"/>
      <c r="I354" s="40"/>
      <c r="J354" s="43"/>
      <c r="K354" s="44" t="str">
        <f aca="false">IF(N(D354)=0,"",E354/D354)</f>
        <v/>
      </c>
      <c r="L354" s="44" t="str">
        <f aca="false">IF(N(E354)=0,"",I354/E354)</f>
        <v/>
      </c>
      <c r="M354" s="45" t="str">
        <f aca="false">IF(N(I354)=0,"",J354/I354)</f>
        <v/>
      </c>
      <c r="N354" s="45" t="str">
        <f aca="false">IF(N(E354)=0,"",J354/E354)</f>
        <v/>
      </c>
      <c r="O354" s="11"/>
    </row>
    <row r="355" customFormat="false" ht="15" hidden="false" customHeight="false" outlineLevel="0" collapsed="false">
      <c r="A355" s="38"/>
      <c r="B355" s="39" t="str">
        <f aca="false">IF(A355="","",CHOOSE(WEEKDAY(A355,2),"Lun","Mar","Mié","Jue","Vie","Sáb","Dom"))</f>
        <v/>
      </c>
      <c r="C355" s="11"/>
      <c r="D355" s="40"/>
      <c r="E355" s="40"/>
      <c r="F355" s="40"/>
      <c r="G355" s="41"/>
      <c r="H355" s="42"/>
      <c r="I355" s="40"/>
      <c r="J355" s="43"/>
      <c r="K355" s="44" t="str">
        <f aca="false">IF(N(D355)=0,"",E355/D355)</f>
        <v/>
      </c>
      <c r="L355" s="44" t="str">
        <f aca="false">IF(N(E355)=0,"",I355/E355)</f>
        <v/>
      </c>
      <c r="M355" s="45" t="str">
        <f aca="false">IF(N(I355)=0,"",J355/I355)</f>
        <v/>
      </c>
      <c r="N355" s="45" t="str">
        <f aca="false">IF(N(E355)=0,"",J355/E355)</f>
        <v/>
      </c>
      <c r="O355" s="11"/>
    </row>
    <row r="356" customFormat="false" ht="15" hidden="false" customHeight="false" outlineLevel="0" collapsed="false">
      <c r="A356" s="38"/>
      <c r="B356" s="39" t="str">
        <f aca="false">IF(A356="","",CHOOSE(WEEKDAY(A356,2),"Lun","Mar","Mié","Jue","Vie","Sáb","Dom"))</f>
        <v/>
      </c>
      <c r="C356" s="11"/>
      <c r="D356" s="40"/>
      <c r="E356" s="40"/>
      <c r="F356" s="40"/>
      <c r="G356" s="41"/>
      <c r="H356" s="42"/>
      <c r="I356" s="40"/>
      <c r="J356" s="43"/>
      <c r="K356" s="44" t="str">
        <f aca="false">IF(N(D356)=0,"",E356/D356)</f>
        <v/>
      </c>
      <c r="L356" s="44" t="str">
        <f aca="false">IF(N(E356)=0,"",I356/E356)</f>
        <v/>
      </c>
      <c r="M356" s="45" t="str">
        <f aca="false">IF(N(I356)=0,"",J356/I356)</f>
        <v/>
      </c>
      <c r="N356" s="45" t="str">
        <f aca="false">IF(N(E356)=0,"",J356/E356)</f>
        <v/>
      </c>
      <c r="O356" s="11"/>
    </row>
    <row r="357" customFormat="false" ht="15" hidden="false" customHeight="false" outlineLevel="0" collapsed="false">
      <c r="A357" s="38"/>
      <c r="B357" s="39" t="str">
        <f aca="false">IF(A357="","",CHOOSE(WEEKDAY(A357,2),"Lun","Mar","Mié","Jue","Vie","Sáb","Dom"))</f>
        <v/>
      </c>
      <c r="C357" s="11"/>
      <c r="D357" s="40"/>
      <c r="E357" s="40"/>
      <c r="F357" s="40"/>
      <c r="G357" s="41"/>
      <c r="H357" s="42"/>
      <c r="I357" s="40"/>
      <c r="J357" s="43"/>
      <c r="K357" s="44" t="str">
        <f aca="false">IF(N(D357)=0,"",E357/D357)</f>
        <v/>
      </c>
      <c r="L357" s="44" t="str">
        <f aca="false">IF(N(E357)=0,"",I357/E357)</f>
        <v/>
      </c>
      <c r="M357" s="45" t="str">
        <f aca="false">IF(N(I357)=0,"",J357/I357)</f>
        <v/>
      </c>
      <c r="N357" s="45" t="str">
        <f aca="false">IF(N(E357)=0,"",J357/E357)</f>
        <v/>
      </c>
      <c r="O357" s="11"/>
    </row>
    <row r="358" customFormat="false" ht="15" hidden="false" customHeight="false" outlineLevel="0" collapsed="false">
      <c r="A358" s="38"/>
      <c r="B358" s="39" t="str">
        <f aca="false">IF(A358="","",CHOOSE(WEEKDAY(A358,2),"Lun","Mar","Mié","Jue","Vie","Sáb","Dom"))</f>
        <v/>
      </c>
      <c r="C358" s="11"/>
      <c r="D358" s="40"/>
      <c r="E358" s="40"/>
      <c r="F358" s="40"/>
      <c r="G358" s="41"/>
      <c r="H358" s="42"/>
      <c r="I358" s="40"/>
      <c r="J358" s="43"/>
      <c r="K358" s="44" t="str">
        <f aca="false">IF(N(D358)=0,"",E358/D358)</f>
        <v/>
      </c>
      <c r="L358" s="44" t="str">
        <f aca="false">IF(N(E358)=0,"",I358/E358)</f>
        <v/>
      </c>
      <c r="M358" s="45" t="str">
        <f aca="false">IF(N(I358)=0,"",J358/I358)</f>
        <v/>
      </c>
      <c r="N358" s="45" t="str">
        <f aca="false">IF(N(E358)=0,"",J358/E358)</f>
        <v/>
      </c>
      <c r="O358" s="11"/>
    </row>
    <row r="359" customFormat="false" ht="15" hidden="false" customHeight="false" outlineLevel="0" collapsed="false">
      <c r="A359" s="38"/>
      <c r="B359" s="39" t="str">
        <f aca="false">IF(A359="","",CHOOSE(WEEKDAY(A359,2),"Lun","Mar","Mié","Jue","Vie","Sáb","Dom"))</f>
        <v/>
      </c>
      <c r="C359" s="11"/>
      <c r="D359" s="40"/>
      <c r="E359" s="40"/>
      <c r="F359" s="40"/>
      <c r="G359" s="41"/>
      <c r="H359" s="42"/>
      <c r="I359" s="40"/>
      <c r="J359" s="43"/>
      <c r="K359" s="44" t="str">
        <f aca="false">IF(N(D359)=0,"",E359/D359)</f>
        <v/>
      </c>
      <c r="L359" s="44" t="str">
        <f aca="false">IF(N(E359)=0,"",I359/E359)</f>
        <v/>
      </c>
      <c r="M359" s="45" t="str">
        <f aca="false">IF(N(I359)=0,"",J359/I359)</f>
        <v/>
      </c>
      <c r="N359" s="45" t="str">
        <f aca="false">IF(N(E359)=0,"",J359/E359)</f>
        <v/>
      </c>
      <c r="O359" s="11"/>
    </row>
    <row r="360" customFormat="false" ht="15" hidden="false" customHeight="false" outlineLevel="0" collapsed="false">
      <c r="A360" s="38"/>
      <c r="B360" s="39" t="str">
        <f aca="false">IF(A360="","",CHOOSE(WEEKDAY(A360,2),"Lun","Mar","Mié","Jue","Vie","Sáb","Dom"))</f>
        <v/>
      </c>
      <c r="C360" s="11"/>
      <c r="D360" s="40"/>
      <c r="E360" s="40"/>
      <c r="F360" s="40"/>
      <c r="G360" s="41"/>
      <c r="H360" s="42"/>
      <c r="I360" s="40"/>
      <c r="J360" s="43"/>
      <c r="K360" s="44" t="str">
        <f aca="false">IF(N(D360)=0,"",E360/D360)</f>
        <v/>
      </c>
      <c r="L360" s="44" t="str">
        <f aca="false">IF(N(E360)=0,"",I360/E360)</f>
        <v/>
      </c>
      <c r="M360" s="45" t="str">
        <f aca="false">IF(N(I360)=0,"",J360/I360)</f>
        <v/>
      </c>
      <c r="N360" s="45" t="str">
        <f aca="false">IF(N(E360)=0,"",J360/E360)</f>
        <v/>
      </c>
      <c r="O360" s="11"/>
    </row>
    <row r="361" customFormat="false" ht="15" hidden="false" customHeight="false" outlineLevel="0" collapsed="false">
      <c r="A361" s="38"/>
      <c r="B361" s="39" t="str">
        <f aca="false">IF(A361="","",CHOOSE(WEEKDAY(A361,2),"Lun","Mar","Mié","Jue","Vie","Sáb","Dom"))</f>
        <v/>
      </c>
      <c r="C361" s="11"/>
      <c r="D361" s="40"/>
      <c r="E361" s="40"/>
      <c r="F361" s="40"/>
      <c r="G361" s="41"/>
      <c r="H361" s="42"/>
      <c r="I361" s="40"/>
      <c r="J361" s="43"/>
      <c r="K361" s="44" t="str">
        <f aca="false">IF(N(D361)=0,"",E361/D361)</f>
        <v/>
      </c>
      <c r="L361" s="44" t="str">
        <f aca="false">IF(N(E361)=0,"",I361/E361)</f>
        <v/>
      </c>
      <c r="M361" s="45" t="str">
        <f aca="false">IF(N(I361)=0,"",J361/I361)</f>
        <v/>
      </c>
      <c r="N361" s="45" t="str">
        <f aca="false">IF(N(E361)=0,"",J361/E361)</f>
        <v/>
      </c>
      <c r="O361" s="11"/>
    </row>
    <row r="362" customFormat="false" ht="15" hidden="false" customHeight="false" outlineLevel="0" collapsed="false">
      <c r="A362" s="38"/>
      <c r="B362" s="39" t="str">
        <f aca="false">IF(A362="","",CHOOSE(WEEKDAY(A362,2),"Lun","Mar","Mié","Jue","Vie","Sáb","Dom"))</f>
        <v/>
      </c>
      <c r="C362" s="11"/>
      <c r="D362" s="40"/>
      <c r="E362" s="40"/>
      <c r="F362" s="40"/>
      <c r="G362" s="41"/>
      <c r="H362" s="42"/>
      <c r="I362" s="40"/>
      <c r="J362" s="43"/>
      <c r="K362" s="44" t="str">
        <f aca="false">IF(N(D362)=0,"",E362/D362)</f>
        <v/>
      </c>
      <c r="L362" s="44" t="str">
        <f aca="false">IF(N(E362)=0,"",I362/E362)</f>
        <v/>
      </c>
      <c r="M362" s="45" t="str">
        <f aca="false">IF(N(I362)=0,"",J362/I362)</f>
        <v/>
      </c>
      <c r="N362" s="45" t="str">
        <f aca="false">IF(N(E362)=0,"",J362/E362)</f>
        <v/>
      </c>
      <c r="O362" s="11"/>
    </row>
    <row r="363" customFormat="false" ht="15" hidden="false" customHeight="false" outlineLevel="0" collapsed="false">
      <c r="A363" s="38"/>
      <c r="B363" s="39" t="str">
        <f aca="false">IF(A363="","",CHOOSE(WEEKDAY(A363,2),"Lun","Mar","Mié","Jue","Vie","Sáb","Dom"))</f>
        <v/>
      </c>
      <c r="C363" s="11"/>
      <c r="D363" s="40"/>
      <c r="E363" s="40"/>
      <c r="F363" s="40"/>
      <c r="G363" s="41"/>
      <c r="H363" s="42"/>
      <c r="I363" s="40"/>
      <c r="J363" s="43"/>
      <c r="K363" s="44" t="str">
        <f aca="false">IF(N(D363)=0,"",E363/D363)</f>
        <v/>
      </c>
      <c r="L363" s="44" t="str">
        <f aca="false">IF(N(E363)=0,"",I363/E363)</f>
        <v/>
      </c>
      <c r="M363" s="45" t="str">
        <f aca="false">IF(N(I363)=0,"",J363/I363)</f>
        <v/>
      </c>
      <c r="N363" s="45" t="str">
        <f aca="false">IF(N(E363)=0,"",J363/E363)</f>
        <v/>
      </c>
      <c r="O363" s="11"/>
    </row>
    <row r="364" customFormat="false" ht="15" hidden="false" customHeight="false" outlineLevel="0" collapsed="false">
      <c r="A364" s="38"/>
      <c r="B364" s="39" t="str">
        <f aca="false">IF(A364="","",CHOOSE(WEEKDAY(A364,2),"Lun","Mar","Mié","Jue","Vie","Sáb","Dom"))</f>
        <v/>
      </c>
      <c r="C364" s="11"/>
      <c r="D364" s="40"/>
      <c r="E364" s="40"/>
      <c r="F364" s="40"/>
      <c r="G364" s="41"/>
      <c r="H364" s="42"/>
      <c r="I364" s="40"/>
      <c r="J364" s="43"/>
      <c r="K364" s="44" t="str">
        <f aca="false">IF(N(D364)=0,"",E364/D364)</f>
        <v/>
      </c>
      <c r="L364" s="44" t="str">
        <f aca="false">IF(N(E364)=0,"",I364/E364)</f>
        <v/>
      </c>
      <c r="M364" s="45" t="str">
        <f aca="false">IF(N(I364)=0,"",J364/I364)</f>
        <v/>
      </c>
      <c r="N364" s="45" t="str">
        <f aca="false">IF(N(E364)=0,"",J364/E364)</f>
        <v/>
      </c>
      <c r="O364" s="11"/>
    </row>
    <row r="365" customFormat="false" ht="15" hidden="false" customHeight="false" outlineLevel="0" collapsed="false">
      <c r="A365" s="38"/>
      <c r="B365" s="39" t="str">
        <f aca="false">IF(A365="","",CHOOSE(WEEKDAY(A365,2),"Lun","Mar","Mié","Jue","Vie","Sáb","Dom"))</f>
        <v/>
      </c>
      <c r="C365" s="11"/>
      <c r="D365" s="40"/>
      <c r="E365" s="40"/>
      <c r="F365" s="40"/>
      <c r="G365" s="41"/>
      <c r="H365" s="42"/>
      <c r="I365" s="40"/>
      <c r="J365" s="43"/>
      <c r="K365" s="44" t="str">
        <f aca="false">IF(N(D365)=0,"",E365/D365)</f>
        <v/>
      </c>
      <c r="L365" s="44" t="str">
        <f aca="false">IF(N(E365)=0,"",I365/E365)</f>
        <v/>
      </c>
      <c r="M365" s="45" t="str">
        <f aca="false">IF(N(I365)=0,"",J365/I365)</f>
        <v/>
      </c>
      <c r="N365" s="45" t="str">
        <f aca="false">IF(N(E365)=0,"",J365/E365)</f>
        <v/>
      </c>
      <c r="O365" s="11"/>
    </row>
    <row r="366" customFormat="false" ht="15" hidden="false" customHeight="false" outlineLevel="0" collapsed="false">
      <c r="A366" s="38"/>
      <c r="B366" s="39" t="str">
        <f aca="false">IF(A366="","",CHOOSE(WEEKDAY(A366,2),"Lun","Mar","Mié","Jue","Vie","Sáb","Dom"))</f>
        <v/>
      </c>
      <c r="C366" s="11"/>
      <c r="D366" s="40"/>
      <c r="E366" s="40"/>
      <c r="F366" s="40"/>
      <c r="G366" s="41"/>
      <c r="H366" s="42"/>
      <c r="I366" s="40"/>
      <c r="J366" s="43"/>
      <c r="K366" s="44" t="str">
        <f aca="false">IF(N(D366)=0,"",E366/D366)</f>
        <v/>
      </c>
      <c r="L366" s="44" t="str">
        <f aca="false">IF(N(E366)=0,"",I366/E366)</f>
        <v/>
      </c>
      <c r="M366" s="45" t="str">
        <f aca="false">IF(N(I366)=0,"",J366/I366)</f>
        <v/>
      </c>
      <c r="N366" s="45" t="str">
        <f aca="false">IF(N(E366)=0,"",J366/E366)</f>
        <v/>
      </c>
      <c r="O366" s="11"/>
    </row>
    <row r="367" customFormat="false" ht="15" hidden="false" customHeight="false" outlineLevel="0" collapsed="false">
      <c r="A367" s="38"/>
      <c r="B367" s="39" t="str">
        <f aca="false">IF(A367="","",CHOOSE(WEEKDAY(A367,2),"Lun","Mar","Mié","Jue","Vie","Sáb","Dom"))</f>
        <v/>
      </c>
      <c r="C367" s="11"/>
      <c r="D367" s="40"/>
      <c r="E367" s="40"/>
      <c r="F367" s="40"/>
      <c r="G367" s="41"/>
      <c r="H367" s="42"/>
      <c r="I367" s="40"/>
      <c r="J367" s="43"/>
      <c r="K367" s="44" t="str">
        <f aca="false">IF(N(D367)=0,"",E367/D367)</f>
        <v/>
      </c>
      <c r="L367" s="44" t="str">
        <f aca="false">IF(N(E367)=0,"",I367/E367)</f>
        <v/>
      </c>
      <c r="M367" s="45" t="str">
        <f aca="false">IF(N(I367)=0,"",J367/I367)</f>
        <v/>
      </c>
      <c r="N367" s="45" t="str">
        <f aca="false">IF(N(E367)=0,"",J367/E367)</f>
        <v/>
      </c>
      <c r="O367" s="11"/>
    </row>
    <row r="368" customFormat="false" ht="15" hidden="false" customHeight="false" outlineLevel="0" collapsed="false">
      <c r="A368" s="38"/>
      <c r="B368" s="39" t="str">
        <f aca="false">IF(A368="","",CHOOSE(WEEKDAY(A368,2),"Lun","Mar","Mié","Jue","Vie","Sáb","Dom"))</f>
        <v/>
      </c>
      <c r="C368" s="11"/>
      <c r="D368" s="40"/>
      <c r="E368" s="40"/>
      <c r="F368" s="40"/>
      <c r="G368" s="41"/>
      <c r="H368" s="42"/>
      <c r="I368" s="40"/>
      <c r="J368" s="43"/>
      <c r="K368" s="44" t="str">
        <f aca="false">IF(N(D368)=0,"",E368/D368)</f>
        <v/>
      </c>
      <c r="L368" s="44" t="str">
        <f aca="false">IF(N(E368)=0,"",I368/E368)</f>
        <v/>
      </c>
      <c r="M368" s="45" t="str">
        <f aca="false">IF(N(I368)=0,"",J368/I368)</f>
        <v/>
      </c>
      <c r="N368" s="45" t="str">
        <f aca="false">IF(N(E368)=0,"",J368/E368)</f>
        <v/>
      </c>
      <c r="O368" s="11"/>
    </row>
    <row r="369" customFormat="false" ht="15" hidden="false" customHeight="false" outlineLevel="0" collapsed="false">
      <c r="A369" s="38"/>
      <c r="B369" s="39" t="str">
        <f aca="false">IF(A369="","",CHOOSE(WEEKDAY(A369,2),"Lun","Mar","Mié","Jue","Vie","Sáb","Dom"))</f>
        <v/>
      </c>
      <c r="C369" s="11"/>
      <c r="D369" s="40"/>
      <c r="E369" s="40"/>
      <c r="F369" s="40"/>
      <c r="G369" s="41"/>
      <c r="H369" s="42"/>
      <c r="I369" s="40"/>
      <c r="J369" s="43"/>
      <c r="K369" s="44" t="str">
        <f aca="false">IF(N(D369)=0,"",E369/D369)</f>
        <v/>
      </c>
      <c r="L369" s="44" t="str">
        <f aca="false">IF(N(E369)=0,"",I369/E369)</f>
        <v/>
      </c>
      <c r="M369" s="45" t="str">
        <f aca="false">IF(N(I369)=0,"",J369/I369)</f>
        <v/>
      </c>
      <c r="N369" s="45" t="str">
        <f aca="false">IF(N(E369)=0,"",J369/E369)</f>
        <v/>
      </c>
      <c r="O369" s="11"/>
    </row>
    <row r="370" customFormat="false" ht="15" hidden="false" customHeight="false" outlineLevel="0" collapsed="false">
      <c r="A370" s="38"/>
      <c r="B370" s="39" t="str">
        <f aca="false">IF(A370="","",CHOOSE(WEEKDAY(A370,2),"Lun","Mar","Mié","Jue","Vie","Sáb","Dom"))</f>
        <v/>
      </c>
      <c r="C370" s="11"/>
      <c r="D370" s="40"/>
      <c r="E370" s="40"/>
      <c r="F370" s="40"/>
      <c r="G370" s="41"/>
      <c r="H370" s="42"/>
      <c r="I370" s="40"/>
      <c r="J370" s="43"/>
      <c r="K370" s="44" t="str">
        <f aca="false">IF(N(D370)=0,"",E370/D370)</f>
        <v/>
      </c>
      <c r="L370" s="44" t="str">
        <f aca="false">IF(N(E370)=0,"",I370/E370)</f>
        <v/>
      </c>
      <c r="M370" s="45" t="str">
        <f aca="false">IF(N(I370)=0,"",J370/I370)</f>
        <v/>
      </c>
      <c r="N370" s="45" t="str">
        <f aca="false">IF(N(E370)=0,"",J370/E370)</f>
        <v/>
      </c>
      <c r="O370" s="11"/>
    </row>
    <row r="371" customFormat="false" ht="15" hidden="false" customHeight="false" outlineLevel="0" collapsed="false">
      <c r="A371" s="38"/>
      <c r="B371" s="39" t="str">
        <f aca="false">IF(A371="","",CHOOSE(WEEKDAY(A371,2),"Lun","Mar","Mié","Jue","Vie","Sáb","Dom"))</f>
        <v/>
      </c>
      <c r="C371" s="11"/>
      <c r="D371" s="40"/>
      <c r="E371" s="40"/>
      <c r="F371" s="40"/>
      <c r="G371" s="41"/>
      <c r="H371" s="42"/>
      <c r="I371" s="40"/>
      <c r="J371" s="43"/>
      <c r="K371" s="44" t="str">
        <f aca="false">IF(N(D371)=0,"",E371/D371)</f>
        <v/>
      </c>
      <c r="L371" s="44" t="str">
        <f aca="false">IF(N(E371)=0,"",I371/E371)</f>
        <v/>
      </c>
      <c r="M371" s="45" t="str">
        <f aca="false">IF(N(I371)=0,"",J371/I371)</f>
        <v/>
      </c>
      <c r="N371" s="45" t="str">
        <f aca="false">IF(N(E371)=0,"",J371/E371)</f>
        <v/>
      </c>
      <c r="O371" s="11"/>
    </row>
    <row r="372" customFormat="false" ht="15" hidden="false" customHeight="false" outlineLevel="0" collapsed="false">
      <c r="A372" s="38"/>
      <c r="B372" s="39" t="str">
        <f aca="false">IF(A372="","",CHOOSE(WEEKDAY(A372,2),"Lun","Mar","Mié","Jue","Vie","Sáb","Dom"))</f>
        <v/>
      </c>
      <c r="C372" s="11"/>
      <c r="D372" s="40"/>
      <c r="E372" s="40"/>
      <c r="F372" s="40"/>
      <c r="G372" s="41"/>
      <c r="H372" s="42"/>
      <c r="I372" s="40"/>
      <c r="J372" s="43"/>
      <c r="K372" s="44" t="str">
        <f aca="false">IF(N(D372)=0,"",E372/D372)</f>
        <v/>
      </c>
      <c r="L372" s="44" t="str">
        <f aca="false">IF(N(E372)=0,"",I372/E372)</f>
        <v/>
      </c>
      <c r="M372" s="45" t="str">
        <f aca="false">IF(N(I372)=0,"",J372/I372)</f>
        <v/>
      </c>
      <c r="N372" s="45" t="str">
        <f aca="false">IF(N(E372)=0,"",J372/E372)</f>
        <v/>
      </c>
      <c r="O372" s="11"/>
    </row>
  </sheetData>
  <autoFilter ref="A6:O372"/>
  <conditionalFormatting sqref="L7:L372">
    <cfRule type="expression" priority="2" aboveAverage="0" equalAverage="0" bottom="0" percent="0" rank="0" text="" dxfId="11">
      <formula>AND(ISNUMBER(L7),L7&gt;=Config!$C$15)</formula>
    </cfRule>
    <cfRule type="expression" priority="3" aboveAverage="0" equalAverage="0" bottom="0" percent="0" rank="0" text="" dxfId="12">
      <formula>AND(ISNUMBER(L7),L7&lt;Config!$C$15)</formula>
    </cfRule>
  </conditionalFormatting>
  <dataValidations count="2">
    <dataValidation allowBlank="true" error="Escribe una fecha válida (dd/mm/aaaa)." errorStyle="stop" errorTitle="Fecha inválida" operator="greaterThan" showDropDown="false" showErrorMessage="true" showInputMessage="false" sqref="A7:A372" type="date">
      <formula1>36526</formula1>
      <formula2>0</formula2>
    </dataValidation>
    <dataValidation allowBlank="true" error="Solo números iguales o mayores a 0." errorStyle="stop" errorTitle="Valor inválido" operator="greaterThanOrEqual" showDropDown="false" showErrorMessage="true" showInputMessage="false" sqref="D7:G372 I7:J372" type="decimal">
      <formula1>0</formula1>
      <formula2>0</formula2>
    </dataValidation>
  </dataValidations>
  <hyperlinks>
    <hyperlink ref="B3" r:id="rId1" display="APC Servicios Tecnológicos — By Alejandro Piraquive  |  WhatsApp / Tel: 333 745 0634"/>
    <hyperlink ref="B4" r:id="rId2" display="Web: serviciosapc.sit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serviciosapc.site  |  Alejandro Piraquive  |  333 745 0634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B"/>
    <pageSetUpPr fitToPage="tru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1"/>
    <col collapsed="false" customWidth="true" hidden="false" outlineLevel="0" max="10" min="9" style="0" width="14"/>
    <col collapsed="false" customWidth="true" hidden="false" outlineLevel="0" max="11" min="11" style="0" width="18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 t="s">
        <v>141</v>
      </c>
    </row>
    <row r="3" customFormat="false" ht="18" hidden="false" customHeight="true" outlineLevel="0" collapsed="false">
      <c r="B3" s="3" t="s">
        <v>2</v>
      </c>
    </row>
    <row r="4" customFormat="false" ht="18" hidden="false" customHeight="true" outlineLevel="0" collapsed="false">
      <c r="B4" s="3" t="s">
        <v>3</v>
      </c>
    </row>
    <row r="5" customFormat="false" ht="4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43.5" hidden="false" customHeight="true" outlineLevel="0" collapsed="false">
      <c r="A6" s="8" t="s">
        <v>142</v>
      </c>
      <c r="B6" s="8" t="s">
        <v>143</v>
      </c>
      <c r="C6" s="8" t="s">
        <v>144</v>
      </c>
      <c r="D6" s="8" t="s">
        <v>145</v>
      </c>
      <c r="E6" s="8" t="s">
        <v>146</v>
      </c>
      <c r="F6" s="8" t="s">
        <v>147</v>
      </c>
      <c r="G6" s="8" t="s">
        <v>148</v>
      </c>
      <c r="H6" s="8" t="s">
        <v>149</v>
      </c>
      <c r="I6" s="8" t="s">
        <v>150</v>
      </c>
      <c r="J6" s="8" t="s">
        <v>151</v>
      </c>
      <c r="K6" s="8" t="s">
        <v>152</v>
      </c>
    </row>
    <row r="7" customFormat="false" ht="15" hidden="false" customHeight="false" outlineLevel="0" collapsed="false">
      <c r="A7" s="46" t="s">
        <v>153</v>
      </c>
      <c r="B7" s="47"/>
      <c r="C7" s="47"/>
      <c r="D7" s="47"/>
      <c r="E7" s="47"/>
      <c r="F7" s="47"/>
      <c r="G7" s="47"/>
      <c r="H7" s="47"/>
      <c r="I7" s="48" t="str">
        <f aca="false">IF(COUNT(B7:H7)=0,"",AVERAGE(B7:H7))</f>
        <v/>
      </c>
      <c r="J7" s="30" t="n">
        <f aca="false">IF(SUM($B$7:$H$23)=0,"",SUM(B7:H7)/SUM($B$7:$H$23))</f>
        <v>0</v>
      </c>
      <c r="K7" s="49" t="str">
        <f aca="false">IF(COUNT(B7:H7)=0,"",ROUNDUP(MAX(B7:H7)/Config!$C$18,0))</f>
        <v/>
      </c>
    </row>
    <row r="8" customFormat="false" ht="15" hidden="false" customHeight="false" outlineLevel="0" collapsed="false">
      <c r="A8" s="46" t="s">
        <v>154</v>
      </c>
      <c r="B8" s="47"/>
      <c r="C8" s="47"/>
      <c r="D8" s="47"/>
      <c r="E8" s="47"/>
      <c r="F8" s="47"/>
      <c r="G8" s="47"/>
      <c r="H8" s="47"/>
      <c r="I8" s="48" t="str">
        <f aca="false">IF(COUNT(B8:H8)=0,"",AVERAGE(B8:H8))</f>
        <v/>
      </c>
      <c r="J8" s="30" t="n">
        <f aca="false">IF(SUM($B$7:$H$23)=0,"",SUM(B8:H8)/SUM($B$7:$H$23))</f>
        <v>0</v>
      </c>
      <c r="K8" s="49" t="str">
        <f aca="false">IF(COUNT(B8:H8)=0,"",ROUNDUP(MAX(B8:H8)/Config!$C$18,0))</f>
        <v/>
      </c>
    </row>
    <row r="9" customFormat="false" ht="15" hidden="false" customHeight="false" outlineLevel="0" collapsed="false">
      <c r="A9" s="46" t="s">
        <v>155</v>
      </c>
      <c r="B9" s="47"/>
      <c r="C9" s="47"/>
      <c r="D9" s="47"/>
      <c r="E9" s="47"/>
      <c r="F9" s="47"/>
      <c r="G9" s="47"/>
      <c r="H9" s="47"/>
      <c r="I9" s="48" t="str">
        <f aca="false">IF(COUNT(B9:H9)=0,"",AVERAGE(B9:H9))</f>
        <v/>
      </c>
      <c r="J9" s="30" t="n">
        <f aca="false">IF(SUM($B$7:$H$23)=0,"",SUM(B9:H9)/SUM($B$7:$H$23))</f>
        <v>0</v>
      </c>
      <c r="K9" s="49" t="str">
        <f aca="false">IF(COUNT(B9:H9)=0,"",ROUNDUP(MAX(B9:H9)/Config!$C$18,0))</f>
        <v/>
      </c>
    </row>
    <row r="10" customFormat="false" ht="15" hidden="false" customHeight="false" outlineLevel="0" collapsed="false">
      <c r="A10" s="46" t="s">
        <v>156</v>
      </c>
      <c r="B10" s="47"/>
      <c r="C10" s="47"/>
      <c r="D10" s="47"/>
      <c r="E10" s="47"/>
      <c r="F10" s="47"/>
      <c r="G10" s="47"/>
      <c r="H10" s="47"/>
      <c r="I10" s="48" t="str">
        <f aca="false">IF(COUNT(B10:H10)=0,"",AVERAGE(B10:H10))</f>
        <v/>
      </c>
      <c r="J10" s="30" t="n">
        <f aca="false">IF(SUM($B$7:$H$23)=0,"",SUM(B10:H10)/SUM($B$7:$H$23))</f>
        <v>0</v>
      </c>
      <c r="K10" s="49" t="str">
        <f aca="false">IF(COUNT(B10:H10)=0,"",ROUNDUP(MAX(B10:H10)/Config!$C$18,0))</f>
        <v/>
      </c>
    </row>
    <row r="11" customFormat="false" ht="15" hidden="false" customHeight="false" outlineLevel="0" collapsed="false">
      <c r="A11" s="46" t="s">
        <v>157</v>
      </c>
      <c r="B11" s="47"/>
      <c r="C11" s="47"/>
      <c r="D11" s="47"/>
      <c r="E11" s="47"/>
      <c r="F11" s="47"/>
      <c r="G11" s="47"/>
      <c r="H11" s="47"/>
      <c r="I11" s="48" t="str">
        <f aca="false">IF(COUNT(B11:H11)=0,"",AVERAGE(B11:H11))</f>
        <v/>
      </c>
      <c r="J11" s="30" t="n">
        <f aca="false">IF(SUM($B$7:$H$23)=0,"",SUM(B11:H11)/SUM($B$7:$H$23))</f>
        <v>0</v>
      </c>
      <c r="K11" s="49" t="str">
        <f aca="false">IF(COUNT(B11:H11)=0,"",ROUNDUP(MAX(B11:H11)/Config!$C$18,0))</f>
        <v/>
      </c>
    </row>
    <row r="12" customFormat="false" ht="15" hidden="false" customHeight="false" outlineLevel="0" collapsed="false">
      <c r="A12" s="46" t="s">
        <v>158</v>
      </c>
      <c r="B12" s="47"/>
      <c r="C12" s="47"/>
      <c r="D12" s="47"/>
      <c r="E12" s="47"/>
      <c r="F12" s="47"/>
      <c r="G12" s="47"/>
      <c r="H12" s="47"/>
      <c r="I12" s="48" t="str">
        <f aca="false">IF(COUNT(B12:H12)=0,"",AVERAGE(B12:H12))</f>
        <v/>
      </c>
      <c r="J12" s="30" t="n">
        <f aca="false">IF(SUM($B$7:$H$23)=0,"",SUM(B12:H12)/SUM($B$7:$H$23))</f>
        <v>0</v>
      </c>
      <c r="K12" s="49" t="str">
        <f aca="false">IF(COUNT(B12:H12)=0,"",ROUNDUP(MAX(B12:H12)/Config!$C$18,0))</f>
        <v/>
      </c>
    </row>
    <row r="13" customFormat="false" ht="15" hidden="false" customHeight="false" outlineLevel="0" collapsed="false">
      <c r="A13" s="46" t="s">
        <v>139</v>
      </c>
      <c r="B13" s="47" t="n">
        <v>28</v>
      </c>
      <c r="C13" s="47" t="n">
        <v>25</v>
      </c>
      <c r="D13" s="47" t="n">
        <v>27</v>
      </c>
      <c r="E13" s="47" t="n">
        <v>30</v>
      </c>
      <c r="F13" s="47" t="n">
        <v>42</v>
      </c>
      <c r="G13" s="47" t="n">
        <v>55</v>
      </c>
      <c r="H13" s="47" t="n">
        <v>38</v>
      </c>
      <c r="I13" s="48" t="n">
        <f aca="false">IF(COUNT(B13:H13)=0,"",AVERAGE(B13:H13))</f>
        <v>35</v>
      </c>
      <c r="J13" s="30" t="n">
        <f aca="false">IF(SUM($B$7:$H$23)=0,"",SUM(B13:H13)/SUM($B$7:$H$23))</f>
        <v>1</v>
      </c>
      <c r="K13" s="49" t="n">
        <f aca="false">IF(COUNT(B13:H13)=0,"",ROUNDUP(MAX(B13:H13)/Config!$C$18,0))</f>
        <v>5</v>
      </c>
    </row>
    <row r="14" customFormat="false" ht="15" hidden="false" customHeight="false" outlineLevel="0" collapsed="false">
      <c r="A14" s="46" t="s">
        <v>159</v>
      </c>
      <c r="B14" s="47"/>
      <c r="C14" s="47"/>
      <c r="D14" s="47"/>
      <c r="E14" s="47"/>
      <c r="F14" s="47"/>
      <c r="G14" s="47"/>
      <c r="H14" s="47"/>
      <c r="I14" s="48" t="str">
        <f aca="false">IF(COUNT(B14:H14)=0,"",AVERAGE(B14:H14))</f>
        <v/>
      </c>
      <c r="J14" s="30" t="n">
        <f aca="false">IF(SUM($B$7:$H$23)=0,"",SUM(B14:H14)/SUM($B$7:$H$23))</f>
        <v>0</v>
      </c>
      <c r="K14" s="49" t="str">
        <f aca="false">IF(COUNT(B14:H14)=0,"",ROUNDUP(MAX(B14:H14)/Config!$C$18,0))</f>
        <v/>
      </c>
    </row>
    <row r="15" customFormat="false" ht="15" hidden="false" customHeight="false" outlineLevel="0" collapsed="false">
      <c r="A15" s="46" t="s">
        <v>160</v>
      </c>
      <c r="B15" s="47"/>
      <c r="C15" s="47"/>
      <c r="D15" s="47"/>
      <c r="E15" s="47"/>
      <c r="F15" s="47"/>
      <c r="G15" s="47"/>
      <c r="H15" s="47"/>
      <c r="I15" s="48" t="str">
        <f aca="false">IF(COUNT(B15:H15)=0,"",AVERAGE(B15:H15))</f>
        <v/>
      </c>
      <c r="J15" s="30" t="n">
        <f aca="false">IF(SUM($B$7:$H$23)=0,"",SUM(B15:H15)/SUM($B$7:$H$23))</f>
        <v>0</v>
      </c>
      <c r="K15" s="49" t="str">
        <f aca="false">IF(COUNT(B15:H15)=0,"",ROUNDUP(MAX(B15:H15)/Config!$C$18,0))</f>
        <v/>
      </c>
    </row>
    <row r="16" customFormat="false" ht="15" hidden="false" customHeight="false" outlineLevel="0" collapsed="false">
      <c r="A16" s="46" t="s">
        <v>161</v>
      </c>
      <c r="B16" s="47"/>
      <c r="C16" s="47"/>
      <c r="D16" s="47"/>
      <c r="E16" s="47"/>
      <c r="F16" s="47"/>
      <c r="G16" s="47"/>
      <c r="H16" s="47"/>
      <c r="I16" s="48" t="str">
        <f aca="false">IF(COUNT(B16:H16)=0,"",AVERAGE(B16:H16))</f>
        <v/>
      </c>
      <c r="J16" s="30" t="n">
        <f aca="false">IF(SUM($B$7:$H$23)=0,"",SUM(B16:H16)/SUM($B$7:$H$23))</f>
        <v>0</v>
      </c>
      <c r="K16" s="49" t="str">
        <f aca="false">IF(COUNT(B16:H16)=0,"",ROUNDUP(MAX(B16:H16)/Config!$C$18,0))</f>
        <v/>
      </c>
    </row>
    <row r="17" customFormat="false" ht="15" hidden="false" customHeight="false" outlineLevel="0" collapsed="false">
      <c r="A17" s="46" t="s">
        <v>162</v>
      </c>
      <c r="B17" s="47"/>
      <c r="C17" s="47"/>
      <c r="D17" s="47"/>
      <c r="E17" s="47"/>
      <c r="F17" s="47"/>
      <c r="G17" s="47"/>
      <c r="H17" s="47"/>
      <c r="I17" s="48" t="str">
        <f aca="false">IF(COUNT(B17:H17)=0,"",AVERAGE(B17:H17))</f>
        <v/>
      </c>
      <c r="J17" s="30" t="n">
        <f aca="false">IF(SUM($B$7:$H$23)=0,"",SUM(B17:H17)/SUM($B$7:$H$23))</f>
        <v>0</v>
      </c>
      <c r="K17" s="49" t="str">
        <f aca="false">IF(COUNT(B17:H17)=0,"",ROUNDUP(MAX(B17:H17)/Config!$C$18,0))</f>
        <v/>
      </c>
    </row>
    <row r="18" customFormat="false" ht="15" hidden="false" customHeight="false" outlineLevel="0" collapsed="false">
      <c r="A18" s="46" t="s">
        <v>163</v>
      </c>
      <c r="B18" s="47"/>
      <c r="C18" s="47"/>
      <c r="D18" s="47"/>
      <c r="E18" s="47"/>
      <c r="F18" s="47"/>
      <c r="G18" s="47"/>
      <c r="H18" s="47"/>
      <c r="I18" s="48" t="str">
        <f aca="false">IF(COUNT(B18:H18)=0,"",AVERAGE(B18:H18))</f>
        <v/>
      </c>
      <c r="J18" s="30" t="n">
        <f aca="false">IF(SUM($B$7:$H$23)=0,"",SUM(B18:H18)/SUM($B$7:$H$23))</f>
        <v>0</v>
      </c>
      <c r="K18" s="49" t="str">
        <f aca="false">IF(COUNT(B18:H18)=0,"",ROUNDUP(MAX(B18:H18)/Config!$C$18,0))</f>
        <v/>
      </c>
    </row>
    <row r="19" customFormat="false" ht="15" hidden="false" customHeight="false" outlineLevel="0" collapsed="false">
      <c r="A19" s="46" t="s">
        <v>164</v>
      </c>
      <c r="B19" s="47"/>
      <c r="C19" s="47"/>
      <c r="D19" s="47"/>
      <c r="E19" s="47"/>
      <c r="F19" s="47"/>
      <c r="G19" s="47"/>
      <c r="H19" s="47"/>
      <c r="I19" s="48" t="str">
        <f aca="false">IF(COUNT(B19:H19)=0,"",AVERAGE(B19:H19))</f>
        <v/>
      </c>
      <c r="J19" s="30" t="n">
        <f aca="false">IF(SUM($B$7:$H$23)=0,"",SUM(B19:H19)/SUM($B$7:$H$23))</f>
        <v>0</v>
      </c>
      <c r="K19" s="49" t="str">
        <f aca="false">IF(COUNT(B19:H19)=0,"",ROUNDUP(MAX(B19:H19)/Config!$C$18,0))</f>
        <v/>
      </c>
    </row>
    <row r="20" customFormat="false" ht="15" hidden="false" customHeight="false" outlineLevel="0" collapsed="false">
      <c r="A20" s="46" t="s">
        <v>165</v>
      </c>
      <c r="B20" s="47"/>
      <c r="C20" s="47"/>
      <c r="D20" s="47"/>
      <c r="E20" s="47"/>
      <c r="F20" s="47"/>
      <c r="G20" s="47"/>
      <c r="H20" s="47"/>
      <c r="I20" s="48" t="str">
        <f aca="false">IF(COUNT(B20:H20)=0,"",AVERAGE(B20:H20))</f>
        <v/>
      </c>
      <c r="J20" s="30" t="n">
        <f aca="false">IF(SUM($B$7:$H$23)=0,"",SUM(B20:H20)/SUM($B$7:$H$23))</f>
        <v>0</v>
      </c>
      <c r="K20" s="49" t="str">
        <f aca="false">IF(COUNT(B20:H20)=0,"",ROUNDUP(MAX(B20:H20)/Config!$C$18,0))</f>
        <v/>
      </c>
    </row>
    <row r="21" customFormat="false" ht="15" hidden="false" customHeight="false" outlineLevel="0" collapsed="false">
      <c r="A21" s="46" t="s">
        <v>166</v>
      </c>
      <c r="B21" s="47"/>
      <c r="C21" s="47"/>
      <c r="D21" s="47"/>
      <c r="E21" s="47"/>
      <c r="F21" s="47"/>
      <c r="G21" s="47"/>
      <c r="H21" s="47"/>
      <c r="I21" s="48" t="str">
        <f aca="false">IF(COUNT(B21:H21)=0,"",AVERAGE(B21:H21))</f>
        <v/>
      </c>
      <c r="J21" s="30" t="n">
        <f aca="false">IF(SUM($B$7:$H$23)=0,"",SUM(B21:H21)/SUM($B$7:$H$23))</f>
        <v>0</v>
      </c>
      <c r="K21" s="49" t="str">
        <f aca="false">IF(COUNT(B21:H21)=0,"",ROUNDUP(MAX(B21:H21)/Config!$C$18,0))</f>
        <v/>
      </c>
    </row>
    <row r="22" customFormat="false" ht="15" hidden="false" customHeight="false" outlineLevel="0" collapsed="false">
      <c r="A22" s="46" t="s">
        <v>167</v>
      </c>
      <c r="B22" s="47"/>
      <c r="C22" s="47"/>
      <c r="D22" s="47"/>
      <c r="E22" s="47"/>
      <c r="F22" s="47"/>
      <c r="G22" s="47"/>
      <c r="H22" s="47"/>
      <c r="I22" s="48" t="str">
        <f aca="false">IF(COUNT(B22:H22)=0,"",AVERAGE(B22:H22))</f>
        <v/>
      </c>
      <c r="J22" s="30" t="n">
        <f aca="false">IF(SUM($B$7:$H$23)=0,"",SUM(B22:H22)/SUM($B$7:$H$23))</f>
        <v>0</v>
      </c>
      <c r="K22" s="49" t="str">
        <f aca="false">IF(COUNT(B22:H22)=0,"",ROUNDUP(MAX(B22:H22)/Config!$C$18,0))</f>
        <v/>
      </c>
    </row>
    <row r="23" customFormat="false" ht="15" hidden="false" customHeight="false" outlineLevel="0" collapsed="false">
      <c r="A23" s="46" t="s">
        <v>168</v>
      </c>
      <c r="B23" s="47"/>
      <c r="C23" s="47"/>
      <c r="D23" s="47"/>
      <c r="E23" s="47"/>
      <c r="F23" s="47"/>
      <c r="G23" s="47"/>
      <c r="H23" s="47"/>
      <c r="I23" s="48" t="str">
        <f aca="false">IF(COUNT(B23:H23)=0,"",AVERAGE(B23:H23))</f>
        <v/>
      </c>
      <c r="J23" s="30" t="n">
        <f aca="false">IF(SUM($B$7:$H$23)=0,"",SUM(B23:H23)/SUM($B$7:$H$23))</f>
        <v>0</v>
      </c>
      <c r="K23" s="49" t="str">
        <f aca="false">IF(COUNT(B23:H23)=0,"",ROUNDUP(MAX(B23:H23)/Config!$C$18,0))</f>
        <v/>
      </c>
    </row>
    <row r="24" customFormat="false" ht="15" hidden="false" customHeight="false" outlineLevel="0" collapsed="false">
      <c r="A24" s="15" t="s">
        <v>169</v>
      </c>
      <c r="B24" s="50" t="n">
        <f aca="false">SUM(B7:B23)</f>
        <v>28</v>
      </c>
      <c r="C24" s="50" t="n">
        <f aca="false">SUM(C7:C23)</f>
        <v>25</v>
      </c>
      <c r="D24" s="50" t="n">
        <f aca="false">SUM(D7:D23)</f>
        <v>27</v>
      </c>
      <c r="E24" s="50" t="n">
        <f aca="false">SUM(E7:E23)</f>
        <v>30</v>
      </c>
      <c r="F24" s="50" t="n">
        <f aca="false">SUM(F7:F23)</f>
        <v>42</v>
      </c>
      <c r="G24" s="50" t="n">
        <f aca="false">SUM(G7:G23)</f>
        <v>55</v>
      </c>
      <c r="H24" s="50" t="n">
        <f aca="false">SUM(H7:H23)</f>
        <v>38</v>
      </c>
      <c r="I24" s="15"/>
      <c r="J24" s="15"/>
      <c r="K24" s="15"/>
    </row>
    <row r="26" customFormat="false" ht="15" hidden="false" customHeight="false" outlineLevel="0" collapsed="false">
      <c r="A26" s="17" t="s">
        <v>170</v>
      </c>
      <c r="C26" s="51" t="str">
        <f aca="false">IF(SUM(B7:H23)=0,"—",INDEX(A7:A23,MATCH(MAX(J7:J23),J7:J23,0)))</f>
        <v>12:00-13:00</v>
      </c>
    </row>
    <row r="27" customFormat="false" ht="15" hidden="false" customHeight="false" outlineLevel="0" collapsed="false">
      <c r="A27" s="17" t="s">
        <v>171</v>
      </c>
      <c r="C27" s="51" t="str">
        <f aca="false">IF(SUM(B7:H23)=0,"—",INDEX(B6:H6,MATCH(MAX(B24:H24),B24:H24,0)))</f>
        <v>Sáb</v>
      </c>
    </row>
    <row r="29" customFormat="false" ht="15" hidden="false" customHeight="false" outlineLevel="0" collapsed="false">
      <c r="A29" s="52" t="s">
        <v>172</v>
      </c>
    </row>
  </sheetData>
  <conditionalFormatting sqref="B7:H23">
    <cfRule type="colorScale" priority="2">
      <colorScale>
        <cfvo type="min" val="0"/>
        <cfvo type="max" val="0"/>
        <color rgb="FFFFFFFF"/>
        <color rgb="FF5B7DB8"/>
      </colorScale>
    </cfRule>
  </conditionalFormatting>
  <dataValidations count="1">
    <dataValidation allowBlank="true" error="Solo números iguales o mayores a 0." errorStyle="stop" errorTitle="Valor inválido" operator="greaterThanOrEqual" showDropDown="false" showErrorMessage="true" showInputMessage="false" sqref="B7:H23" type="decimal">
      <formula1>0</formula1>
      <formula2>0</formula2>
    </dataValidation>
  </dataValidations>
  <hyperlinks>
    <hyperlink ref="B3" r:id="rId1" display="APC Servicios Tecnológicos — By Alejandro Piraquive  |  WhatsApp / Tel: 333 745 0634"/>
    <hyperlink ref="B4" r:id="rId2" display="Web: serviciosapc.sit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serviciosapc.site  |  Alejandro Piraquive  |  333 745 0634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B"/>
    <pageSetUpPr fitToPage="tru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8" min="5" style="0" width="16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 t="s">
        <v>173</v>
      </c>
    </row>
    <row r="3" customFormat="false" ht="18" hidden="false" customHeight="true" outlineLevel="0" collapsed="false">
      <c r="B3" s="3" t="s">
        <v>2</v>
      </c>
    </row>
    <row r="4" customFormat="false" ht="18" hidden="false" customHeight="true" outlineLevel="0" collapsed="false">
      <c r="B4" s="3" t="s">
        <v>3</v>
      </c>
    </row>
    <row r="5" customFormat="false" ht="4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55.5" hidden="false" customHeight="true" outlineLevel="0" collapsed="false">
      <c r="A6" s="8" t="s">
        <v>174</v>
      </c>
      <c r="B6" s="8" t="s">
        <v>84</v>
      </c>
      <c r="C6" s="8" t="s">
        <v>175</v>
      </c>
      <c r="D6" s="8" t="s">
        <v>176</v>
      </c>
      <c r="E6" s="8" t="s">
        <v>177</v>
      </c>
      <c r="F6" s="8" t="s">
        <v>178</v>
      </c>
      <c r="G6" s="8" t="s">
        <v>179</v>
      </c>
      <c r="H6" s="8" t="s">
        <v>180</v>
      </c>
      <c r="I6" s="8" t="s">
        <v>181</v>
      </c>
      <c r="J6" s="8" t="s">
        <v>182</v>
      </c>
    </row>
    <row r="7" customFormat="false" ht="15" hidden="false" customHeight="false" outlineLevel="0" collapsed="false">
      <c r="A7" s="53" t="n">
        <f aca="false">DATE(Config!$C$11,1,1)</f>
        <v>46023</v>
      </c>
      <c r="B7" s="47" t="n">
        <v>42000</v>
      </c>
      <c r="C7" s="47" t="n">
        <v>1850</v>
      </c>
      <c r="D7" s="30" t="n">
        <f aca="false">IF(N(B7)=0,"",C7/B7)</f>
        <v>0.0440476190476191</v>
      </c>
      <c r="E7" s="54" t="n">
        <v>14.2</v>
      </c>
      <c r="F7" s="47" t="n">
        <v>1620</v>
      </c>
      <c r="G7" s="47" t="n">
        <v>96</v>
      </c>
      <c r="H7" s="47" t="n">
        <v>210</v>
      </c>
      <c r="I7" s="47" t="n">
        <v>58</v>
      </c>
      <c r="J7" s="29" t="n">
        <f aca="false">IF(COUNT(G7:I7)=0,"",SUM(G7:I7))</f>
        <v>364</v>
      </c>
    </row>
    <row r="8" customFormat="false" ht="15" hidden="false" customHeight="false" outlineLevel="0" collapsed="false">
      <c r="A8" s="53" t="n">
        <f aca="false">DATE(Config!$C$11,2,1)</f>
        <v>46054</v>
      </c>
      <c r="B8" s="47"/>
      <c r="C8" s="47"/>
      <c r="D8" s="30" t="str">
        <f aca="false">IF(N(B8)=0,"",C8/B8)</f>
        <v/>
      </c>
      <c r="E8" s="54"/>
      <c r="F8" s="47"/>
      <c r="G8" s="47"/>
      <c r="H8" s="47"/>
      <c r="I8" s="47"/>
      <c r="J8" s="29" t="str">
        <f aca="false">IF(COUNT(G8:I8)=0,"",SUM(G8:I8))</f>
        <v/>
      </c>
    </row>
    <row r="9" customFormat="false" ht="15" hidden="false" customHeight="false" outlineLevel="0" collapsed="false">
      <c r="A9" s="53" t="n">
        <f aca="false">DATE(Config!$C$11,3,1)</f>
        <v>46082</v>
      </c>
      <c r="B9" s="47"/>
      <c r="C9" s="47"/>
      <c r="D9" s="30" t="str">
        <f aca="false">IF(N(B9)=0,"",C9/B9)</f>
        <v/>
      </c>
      <c r="E9" s="54"/>
      <c r="F9" s="47"/>
      <c r="G9" s="47"/>
      <c r="H9" s="47"/>
      <c r="I9" s="47"/>
      <c r="J9" s="29" t="str">
        <f aca="false">IF(COUNT(G9:I9)=0,"",SUM(G9:I9))</f>
        <v/>
      </c>
    </row>
    <row r="10" customFormat="false" ht="15" hidden="false" customHeight="false" outlineLevel="0" collapsed="false">
      <c r="A10" s="53" t="n">
        <f aca="false">DATE(Config!$C$11,4,1)</f>
        <v>46113</v>
      </c>
      <c r="B10" s="47"/>
      <c r="C10" s="47"/>
      <c r="D10" s="30" t="str">
        <f aca="false">IF(N(B10)=0,"",C10/B10)</f>
        <v/>
      </c>
      <c r="E10" s="54"/>
      <c r="F10" s="47"/>
      <c r="G10" s="47"/>
      <c r="H10" s="47"/>
      <c r="I10" s="47"/>
      <c r="J10" s="29" t="str">
        <f aca="false">IF(COUNT(G10:I10)=0,"",SUM(G10:I10))</f>
        <v/>
      </c>
    </row>
    <row r="11" customFormat="false" ht="15" hidden="false" customHeight="false" outlineLevel="0" collapsed="false">
      <c r="A11" s="53" t="n">
        <f aca="false">DATE(Config!$C$11,5,1)</f>
        <v>46143</v>
      </c>
      <c r="B11" s="47"/>
      <c r="C11" s="47"/>
      <c r="D11" s="30" t="str">
        <f aca="false">IF(N(B11)=0,"",C11/B11)</f>
        <v/>
      </c>
      <c r="E11" s="54"/>
      <c r="F11" s="47"/>
      <c r="G11" s="47"/>
      <c r="H11" s="47"/>
      <c r="I11" s="47"/>
      <c r="J11" s="29" t="str">
        <f aca="false">IF(COUNT(G11:I11)=0,"",SUM(G11:I11))</f>
        <v/>
      </c>
    </row>
    <row r="12" customFormat="false" ht="15" hidden="false" customHeight="false" outlineLevel="0" collapsed="false">
      <c r="A12" s="53" t="n">
        <f aca="false">DATE(Config!$C$11,6,1)</f>
        <v>46174</v>
      </c>
      <c r="B12" s="47"/>
      <c r="C12" s="47"/>
      <c r="D12" s="30" t="str">
        <f aca="false">IF(N(B12)=0,"",C12/B12)</f>
        <v/>
      </c>
      <c r="E12" s="54"/>
      <c r="F12" s="47"/>
      <c r="G12" s="47"/>
      <c r="H12" s="47"/>
      <c r="I12" s="47"/>
      <c r="J12" s="29" t="str">
        <f aca="false">IF(COUNT(G12:I12)=0,"",SUM(G12:I12))</f>
        <v/>
      </c>
    </row>
    <row r="13" customFormat="false" ht="15" hidden="false" customHeight="false" outlineLevel="0" collapsed="false">
      <c r="A13" s="53" t="n">
        <f aca="false">DATE(Config!$C$11,7,1)</f>
        <v>46204</v>
      </c>
      <c r="B13" s="47"/>
      <c r="C13" s="47"/>
      <c r="D13" s="30" t="str">
        <f aca="false">IF(N(B13)=0,"",C13/B13)</f>
        <v/>
      </c>
      <c r="E13" s="54"/>
      <c r="F13" s="47"/>
      <c r="G13" s="47"/>
      <c r="H13" s="47"/>
      <c r="I13" s="47"/>
      <c r="J13" s="29" t="str">
        <f aca="false">IF(COUNT(G13:I13)=0,"",SUM(G13:I13))</f>
        <v/>
      </c>
    </row>
    <row r="14" customFormat="false" ht="15" hidden="false" customHeight="false" outlineLevel="0" collapsed="false">
      <c r="A14" s="53" t="n">
        <f aca="false">DATE(Config!$C$11,8,1)</f>
        <v>46235</v>
      </c>
      <c r="B14" s="47"/>
      <c r="C14" s="47"/>
      <c r="D14" s="30" t="str">
        <f aca="false">IF(N(B14)=0,"",C14/B14)</f>
        <v/>
      </c>
      <c r="E14" s="54"/>
      <c r="F14" s="47"/>
      <c r="G14" s="47"/>
      <c r="H14" s="47"/>
      <c r="I14" s="47"/>
      <c r="J14" s="29" t="str">
        <f aca="false">IF(COUNT(G14:I14)=0,"",SUM(G14:I14))</f>
        <v/>
      </c>
    </row>
    <row r="15" customFormat="false" ht="15" hidden="false" customHeight="false" outlineLevel="0" collapsed="false">
      <c r="A15" s="53" t="n">
        <f aca="false">DATE(Config!$C$11,9,1)</f>
        <v>46266</v>
      </c>
      <c r="B15" s="47"/>
      <c r="C15" s="47"/>
      <c r="D15" s="30" t="str">
        <f aca="false">IF(N(B15)=0,"",C15/B15)</f>
        <v/>
      </c>
      <c r="E15" s="54"/>
      <c r="F15" s="47"/>
      <c r="G15" s="47"/>
      <c r="H15" s="47"/>
      <c r="I15" s="47"/>
      <c r="J15" s="29" t="str">
        <f aca="false">IF(COUNT(G15:I15)=0,"",SUM(G15:I15))</f>
        <v/>
      </c>
    </row>
    <row r="16" customFormat="false" ht="15" hidden="false" customHeight="false" outlineLevel="0" collapsed="false">
      <c r="A16" s="53" t="n">
        <f aca="false">DATE(Config!$C$11,10,1)</f>
        <v>46296</v>
      </c>
      <c r="B16" s="47"/>
      <c r="C16" s="47"/>
      <c r="D16" s="30" t="str">
        <f aca="false">IF(N(B16)=0,"",C16/B16)</f>
        <v/>
      </c>
      <c r="E16" s="54"/>
      <c r="F16" s="47"/>
      <c r="G16" s="47"/>
      <c r="H16" s="47"/>
      <c r="I16" s="47"/>
      <c r="J16" s="29" t="str">
        <f aca="false">IF(COUNT(G16:I16)=0,"",SUM(G16:I16))</f>
        <v/>
      </c>
    </row>
    <row r="17" customFormat="false" ht="15" hidden="false" customHeight="false" outlineLevel="0" collapsed="false">
      <c r="A17" s="53" t="n">
        <f aca="false">DATE(Config!$C$11,11,1)</f>
        <v>46327</v>
      </c>
      <c r="B17" s="47"/>
      <c r="C17" s="47"/>
      <c r="D17" s="30" t="str">
        <f aca="false">IF(N(B17)=0,"",C17/B17)</f>
        <v/>
      </c>
      <c r="E17" s="54"/>
      <c r="F17" s="47"/>
      <c r="G17" s="47"/>
      <c r="H17" s="47"/>
      <c r="I17" s="47"/>
      <c r="J17" s="29" t="str">
        <f aca="false">IF(COUNT(G17:I17)=0,"",SUM(G17:I17))</f>
        <v/>
      </c>
    </row>
    <row r="18" customFormat="false" ht="15" hidden="false" customHeight="false" outlineLevel="0" collapsed="false">
      <c r="A18" s="53" t="n">
        <f aca="false">DATE(Config!$C$11,12,1)</f>
        <v>46357</v>
      </c>
      <c r="B18" s="47"/>
      <c r="C18" s="47"/>
      <c r="D18" s="30" t="str">
        <f aca="false">IF(N(B18)=0,"",C18/B18)</f>
        <v/>
      </c>
      <c r="E18" s="54"/>
      <c r="F18" s="47"/>
      <c r="G18" s="47"/>
      <c r="H18" s="47"/>
      <c r="I18" s="47"/>
      <c r="J18" s="29" t="str">
        <f aca="false">IF(COUNT(G18:I18)=0,"",SUM(G18:I18))</f>
        <v/>
      </c>
    </row>
    <row r="19" customFormat="false" ht="15" hidden="false" customHeight="false" outlineLevel="0" collapsed="false">
      <c r="A19" s="55" t="s">
        <v>183</v>
      </c>
      <c r="B19" s="50" t="n">
        <f aca="false">SUM(B7:B18)</f>
        <v>42000</v>
      </c>
      <c r="C19" s="50" t="n">
        <f aca="false">SUM(C7:C18)</f>
        <v>1850</v>
      </c>
      <c r="D19" s="56" t="n">
        <f aca="false">IF(B19=0,"",C19/B19)</f>
        <v>0.0440476190476191</v>
      </c>
      <c r="E19" s="57" t="n">
        <f aca="false">IFERROR(AVERAGEIF(E7:E18,"&gt;0"),"")</f>
        <v>14.2</v>
      </c>
      <c r="F19" s="50" t="n">
        <f aca="false">SUM(F7:F18)</f>
        <v>1620</v>
      </c>
      <c r="G19" s="50" t="n">
        <f aca="false">SUM(G7:G18)</f>
        <v>96</v>
      </c>
      <c r="H19" s="50" t="n">
        <f aca="false">SUM(H7:H18)</f>
        <v>210</v>
      </c>
      <c r="I19" s="50" t="n">
        <f aca="false">SUM(I7:I18)</f>
        <v>58</v>
      </c>
      <c r="J19" s="50" t="n">
        <f aca="false">SUM(J7:J18)</f>
        <v>364</v>
      </c>
    </row>
    <row r="21" customFormat="false" ht="15" hidden="false" customHeight="false" outlineLevel="0" collapsed="false">
      <c r="A21" s="52" t="s">
        <v>184</v>
      </c>
    </row>
    <row r="22" customFormat="false" ht="15" hidden="false" customHeight="false" outlineLevel="0" collapsed="false">
      <c r="A22" s="52" t="s">
        <v>185</v>
      </c>
    </row>
  </sheetData>
  <dataValidations count="1">
    <dataValidation allowBlank="true" error="Solo números iguales o mayores a 0." errorStyle="stop" errorTitle="Valor inválido" operator="greaterThanOrEqual" showDropDown="false" showErrorMessage="true" showInputMessage="false" sqref="B7:C18 E7:I18" type="decimal">
      <formula1>0</formula1>
      <formula2>0</formula2>
    </dataValidation>
  </dataValidations>
  <hyperlinks>
    <hyperlink ref="B3" r:id="rId1" display="APC Servicios Tecnológicos — By Alejandro Piraquive  |  WhatsApp / Tel: 333 745 0634"/>
    <hyperlink ref="B4" r:id="rId2" display="Web: serviciosapc.sit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serviciosapc.site  |  Alejandro Piraquive  |  333 745 0634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B"/>
    <pageSetUpPr fitToPage="tru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42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 t="s">
        <v>186</v>
      </c>
    </row>
    <row r="3" customFormat="false" ht="18" hidden="false" customHeight="true" outlineLevel="0" collapsed="false">
      <c r="B3" s="3" t="s">
        <v>2</v>
      </c>
    </row>
    <row r="4" customFormat="false" ht="18" hidden="false" customHeight="true" outlineLevel="0" collapsed="false">
      <c r="B4" s="3" t="s">
        <v>3</v>
      </c>
    </row>
    <row r="5" customFormat="false" ht="4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43.5" hidden="false" customHeight="true" outlineLevel="0" collapsed="false">
      <c r="A6" s="8" t="s">
        <v>187</v>
      </c>
      <c r="B6" s="8" t="s">
        <v>188</v>
      </c>
      <c r="C6" s="8" t="s">
        <v>189</v>
      </c>
      <c r="D6" s="8" t="s">
        <v>190</v>
      </c>
      <c r="E6" s="8" t="s">
        <v>191</v>
      </c>
      <c r="F6" s="8" t="s">
        <v>192</v>
      </c>
      <c r="G6" s="8" t="s">
        <v>193</v>
      </c>
      <c r="H6" s="8" t="s">
        <v>194</v>
      </c>
      <c r="I6" s="8" t="s">
        <v>137</v>
      </c>
    </row>
    <row r="7" customFormat="false" ht="15" hidden="false" customHeight="false" outlineLevel="0" collapsed="false">
      <c r="A7" s="11" t="s">
        <v>195</v>
      </c>
      <c r="B7" s="42" t="s">
        <v>196</v>
      </c>
      <c r="C7" s="47" t="n">
        <v>720</v>
      </c>
      <c r="D7" s="42" t="n">
        <v>14</v>
      </c>
      <c r="E7" s="42" t="n">
        <v>9</v>
      </c>
      <c r="F7" s="58" t="n">
        <f aca="false">IF(OR(D7="",E7=""),"",D7-E7)</f>
        <v>5</v>
      </c>
      <c r="G7" s="11" t="s">
        <v>197</v>
      </c>
      <c r="H7" s="42" t="s">
        <v>198</v>
      </c>
      <c r="I7" s="11" t="s">
        <v>199</v>
      </c>
    </row>
    <row r="8" customFormat="false" ht="15" hidden="false" customHeight="false" outlineLevel="0" collapsed="false">
      <c r="A8" s="11"/>
      <c r="B8" s="42"/>
      <c r="C8" s="47"/>
      <c r="D8" s="42"/>
      <c r="E8" s="42"/>
      <c r="F8" s="58" t="str">
        <f aca="false">IF(OR(D8="",E8=""),"",D8-E8)</f>
        <v/>
      </c>
      <c r="G8" s="11"/>
      <c r="H8" s="42"/>
      <c r="I8" s="11"/>
    </row>
    <row r="9" customFormat="false" ht="15" hidden="false" customHeight="false" outlineLevel="0" collapsed="false">
      <c r="A9" s="11"/>
      <c r="B9" s="42"/>
      <c r="C9" s="47"/>
      <c r="D9" s="42"/>
      <c r="E9" s="42"/>
      <c r="F9" s="58" t="str">
        <f aca="false">IF(OR(D9="",E9=""),"",D9-E9)</f>
        <v/>
      </c>
      <c r="G9" s="11"/>
      <c r="H9" s="42"/>
      <c r="I9" s="11"/>
    </row>
    <row r="10" customFormat="false" ht="15" hidden="false" customHeight="false" outlineLevel="0" collapsed="false">
      <c r="A10" s="11"/>
      <c r="B10" s="42"/>
      <c r="C10" s="47"/>
      <c r="D10" s="42"/>
      <c r="E10" s="42"/>
      <c r="F10" s="58" t="str">
        <f aca="false">IF(OR(D10="",E10=""),"",D10-E10)</f>
        <v/>
      </c>
      <c r="G10" s="11"/>
      <c r="H10" s="42"/>
      <c r="I10" s="11"/>
    </row>
    <row r="11" customFormat="false" ht="15" hidden="false" customHeight="false" outlineLevel="0" collapsed="false">
      <c r="A11" s="11"/>
      <c r="B11" s="42"/>
      <c r="C11" s="47"/>
      <c r="D11" s="42"/>
      <c r="E11" s="42"/>
      <c r="F11" s="58" t="str">
        <f aca="false">IF(OR(D11="",E11=""),"",D11-E11)</f>
        <v/>
      </c>
      <c r="G11" s="11"/>
      <c r="H11" s="42"/>
      <c r="I11" s="11"/>
    </row>
    <row r="12" customFormat="false" ht="15" hidden="false" customHeight="false" outlineLevel="0" collapsed="false">
      <c r="A12" s="11"/>
      <c r="B12" s="42"/>
      <c r="C12" s="47"/>
      <c r="D12" s="42"/>
      <c r="E12" s="42"/>
      <c r="F12" s="58" t="str">
        <f aca="false">IF(OR(D12="",E12=""),"",D12-E12)</f>
        <v/>
      </c>
      <c r="G12" s="11"/>
      <c r="H12" s="42"/>
      <c r="I12" s="11"/>
    </row>
    <row r="13" customFormat="false" ht="15" hidden="false" customHeight="false" outlineLevel="0" collapsed="false">
      <c r="A13" s="11"/>
      <c r="B13" s="42"/>
      <c r="C13" s="47"/>
      <c r="D13" s="42"/>
      <c r="E13" s="42"/>
      <c r="F13" s="58" t="str">
        <f aca="false">IF(OR(D13="",E13=""),"",D13-E13)</f>
        <v/>
      </c>
      <c r="G13" s="11"/>
      <c r="H13" s="42"/>
      <c r="I13" s="11"/>
    </row>
    <row r="14" customFormat="false" ht="15" hidden="false" customHeight="false" outlineLevel="0" collapsed="false">
      <c r="A14" s="11"/>
      <c r="B14" s="42"/>
      <c r="C14" s="47"/>
      <c r="D14" s="42"/>
      <c r="E14" s="42"/>
      <c r="F14" s="58" t="str">
        <f aca="false">IF(OR(D14="",E14=""),"",D14-E14)</f>
        <v/>
      </c>
      <c r="G14" s="11"/>
      <c r="H14" s="42"/>
      <c r="I14" s="11"/>
    </row>
    <row r="15" customFormat="false" ht="15" hidden="false" customHeight="false" outlineLevel="0" collapsed="false">
      <c r="A15" s="11"/>
      <c r="B15" s="42"/>
      <c r="C15" s="47"/>
      <c r="D15" s="42"/>
      <c r="E15" s="42"/>
      <c r="F15" s="58" t="str">
        <f aca="false">IF(OR(D15="",E15=""),"",D15-E15)</f>
        <v/>
      </c>
      <c r="G15" s="11"/>
      <c r="H15" s="42"/>
      <c r="I15" s="11"/>
    </row>
    <row r="16" customFormat="false" ht="15" hidden="false" customHeight="false" outlineLevel="0" collapsed="false">
      <c r="A16" s="11"/>
      <c r="B16" s="42"/>
      <c r="C16" s="47"/>
      <c r="D16" s="42"/>
      <c r="E16" s="42"/>
      <c r="F16" s="58" t="str">
        <f aca="false">IF(OR(D16="",E16=""),"",D16-E16)</f>
        <v/>
      </c>
      <c r="G16" s="11"/>
      <c r="H16" s="42"/>
      <c r="I16" s="11"/>
    </row>
    <row r="17" customFormat="false" ht="15" hidden="false" customHeight="false" outlineLevel="0" collapsed="false">
      <c r="A17" s="11"/>
      <c r="B17" s="42"/>
      <c r="C17" s="47"/>
      <c r="D17" s="42"/>
      <c r="E17" s="42"/>
      <c r="F17" s="58" t="str">
        <f aca="false">IF(OR(D17="",E17=""),"",D17-E17)</f>
        <v/>
      </c>
      <c r="G17" s="11"/>
      <c r="H17" s="42"/>
      <c r="I17" s="11"/>
    </row>
    <row r="18" customFormat="false" ht="15" hidden="false" customHeight="false" outlineLevel="0" collapsed="false">
      <c r="A18" s="11"/>
      <c r="B18" s="42"/>
      <c r="C18" s="47"/>
      <c r="D18" s="42"/>
      <c r="E18" s="42"/>
      <c r="F18" s="58" t="str">
        <f aca="false">IF(OR(D18="",E18=""),"",D18-E18)</f>
        <v/>
      </c>
      <c r="G18" s="11"/>
      <c r="H18" s="42"/>
      <c r="I18" s="11"/>
    </row>
    <row r="19" customFormat="false" ht="15" hidden="false" customHeight="false" outlineLevel="0" collapsed="false">
      <c r="A19" s="11"/>
      <c r="B19" s="42"/>
      <c r="C19" s="47"/>
      <c r="D19" s="42"/>
      <c r="E19" s="42"/>
      <c r="F19" s="58" t="str">
        <f aca="false">IF(OR(D19="",E19=""),"",D19-E19)</f>
        <v/>
      </c>
      <c r="G19" s="11"/>
      <c r="H19" s="42"/>
      <c r="I19" s="11"/>
    </row>
    <row r="20" customFormat="false" ht="15" hidden="false" customHeight="false" outlineLevel="0" collapsed="false">
      <c r="A20" s="11"/>
      <c r="B20" s="42"/>
      <c r="C20" s="47"/>
      <c r="D20" s="42"/>
      <c r="E20" s="42"/>
      <c r="F20" s="58" t="str">
        <f aca="false">IF(OR(D20="",E20=""),"",D20-E20)</f>
        <v/>
      </c>
      <c r="G20" s="11"/>
      <c r="H20" s="42"/>
      <c r="I20" s="11"/>
    </row>
    <row r="21" customFormat="false" ht="15" hidden="false" customHeight="false" outlineLevel="0" collapsed="false">
      <c r="A21" s="11"/>
      <c r="B21" s="42"/>
      <c r="C21" s="47"/>
      <c r="D21" s="42"/>
      <c r="E21" s="42"/>
      <c r="F21" s="58" t="str">
        <f aca="false">IF(OR(D21="",E21=""),"",D21-E21)</f>
        <v/>
      </c>
      <c r="G21" s="11"/>
      <c r="H21" s="42"/>
      <c r="I21" s="11"/>
    </row>
    <row r="22" customFormat="false" ht="15" hidden="false" customHeight="false" outlineLevel="0" collapsed="false">
      <c r="A22" s="11"/>
      <c r="B22" s="42"/>
      <c r="C22" s="47"/>
      <c r="D22" s="42"/>
      <c r="E22" s="42"/>
      <c r="F22" s="58" t="str">
        <f aca="false">IF(OR(D22="",E22=""),"",D22-E22)</f>
        <v/>
      </c>
      <c r="G22" s="11"/>
      <c r="H22" s="42"/>
      <c r="I22" s="11"/>
    </row>
    <row r="23" customFormat="false" ht="15" hidden="false" customHeight="false" outlineLevel="0" collapsed="false">
      <c r="A23" s="11"/>
      <c r="B23" s="42"/>
      <c r="C23" s="47"/>
      <c r="D23" s="42"/>
      <c r="E23" s="42"/>
      <c r="F23" s="58" t="str">
        <f aca="false">IF(OR(D23="",E23=""),"",D23-E23)</f>
        <v/>
      </c>
      <c r="G23" s="11"/>
      <c r="H23" s="42"/>
      <c r="I23" s="11"/>
    </row>
    <row r="24" customFormat="false" ht="15" hidden="false" customHeight="false" outlineLevel="0" collapsed="false">
      <c r="A24" s="11"/>
      <c r="B24" s="42"/>
      <c r="C24" s="47"/>
      <c r="D24" s="42"/>
      <c r="E24" s="42"/>
      <c r="F24" s="58" t="str">
        <f aca="false">IF(OR(D24="",E24=""),"",D24-E24)</f>
        <v/>
      </c>
      <c r="G24" s="11"/>
      <c r="H24" s="42"/>
      <c r="I24" s="11"/>
    </row>
    <row r="25" customFormat="false" ht="15" hidden="false" customHeight="false" outlineLevel="0" collapsed="false">
      <c r="A25" s="11"/>
      <c r="B25" s="42"/>
      <c r="C25" s="47"/>
      <c r="D25" s="42"/>
      <c r="E25" s="42"/>
      <c r="F25" s="58" t="str">
        <f aca="false">IF(OR(D25="",E25=""),"",D25-E25)</f>
        <v/>
      </c>
      <c r="G25" s="11"/>
      <c r="H25" s="42"/>
      <c r="I25" s="11"/>
    </row>
    <row r="26" customFormat="false" ht="15" hidden="false" customHeight="false" outlineLevel="0" collapsed="false">
      <c r="A26" s="11"/>
      <c r="B26" s="42"/>
      <c r="C26" s="47"/>
      <c r="D26" s="42"/>
      <c r="E26" s="42"/>
      <c r="F26" s="58" t="str">
        <f aca="false">IF(OR(D26="",E26=""),"",D26-E26)</f>
        <v/>
      </c>
      <c r="G26" s="11"/>
      <c r="H26" s="42"/>
      <c r="I26" s="11"/>
    </row>
    <row r="27" customFormat="false" ht="15" hidden="false" customHeight="false" outlineLevel="0" collapsed="false">
      <c r="A27" s="11"/>
      <c r="B27" s="42"/>
      <c r="C27" s="47"/>
      <c r="D27" s="42"/>
      <c r="E27" s="42"/>
      <c r="F27" s="58" t="str">
        <f aca="false">IF(OR(D27="",E27=""),"",D27-E27)</f>
        <v/>
      </c>
      <c r="G27" s="11"/>
      <c r="H27" s="42"/>
      <c r="I27" s="11"/>
    </row>
    <row r="28" customFormat="false" ht="15" hidden="false" customHeight="false" outlineLevel="0" collapsed="false">
      <c r="A28" s="11"/>
      <c r="B28" s="42"/>
      <c r="C28" s="47"/>
      <c r="D28" s="42"/>
      <c r="E28" s="42"/>
      <c r="F28" s="58" t="str">
        <f aca="false">IF(OR(D28="",E28=""),"",D28-E28)</f>
        <v/>
      </c>
      <c r="G28" s="11"/>
      <c r="H28" s="42"/>
      <c r="I28" s="11"/>
    </row>
    <row r="29" customFormat="false" ht="15" hidden="false" customHeight="false" outlineLevel="0" collapsed="false">
      <c r="A29" s="11"/>
      <c r="B29" s="42"/>
      <c r="C29" s="47"/>
      <c r="D29" s="42"/>
      <c r="E29" s="42"/>
      <c r="F29" s="58" t="str">
        <f aca="false">IF(OR(D29="",E29=""),"",D29-E29)</f>
        <v/>
      </c>
      <c r="G29" s="11"/>
      <c r="H29" s="42"/>
      <c r="I29" s="11"/>
    </row>
    <row r="30" customFormat="false" ht="15" hidden="false" customHeight="false" outlineLevel="0" collapsed="false">
      <c r="A30" s="11"/>
      <c r="B30" s="42"/>
      <c r="C30" s="47"/>
      <c r="D30" s="42"/>
      <c r="E30" s="42"/>
      <c r="F30" s="58" t="str">
        <f aca="false">IF(OR(D30="",E30=""),"",D30-E30)</f>
        <v/>
      </c>
      <c r="G30" s="11"/>
      <c r="H30" s="42"/>
      <c r="I30" s="11"/>
    </row>
    <row r="31" customFormat="false" ht="15" hidden="false" customHeight="false" outlineLevel="0" collapsed="false">
      <c r="A31" s="11"/>
      <c r="B31" s="42"/>
      <c r="C31" s="47"/>
      <c r="D31" s="42"/>
      <c r="E31" s="42"/>
      <c r="F31" s="58" t="str">
        <f aca="false">IF(OR(D31="",E31=""),"",D31-E31)</f>
        <v/>
      </c>
      <c r="G31" s="11"/>
      <c r="H31" s="42"/>
      <c r="I31" s="11"/>
    </row>
    <row r="33" customFormat="false" ht="15" hidden="false" customHeight="false" outlineLevel="0" collapsed="false">
      <c r="A33" s="17" t="s">
        <v>200</v>
      </c>
      <c r="B33" s="59" t="n">
        <f aca="false">COUNTIF(E7:E31,"&lt;=3")</f>
        <v>0</v>
      </c>
    </row>
    <row r="34" customFormat="false" ht="15" hidden="false" customHeight="false" outlineLevel="0" collapsed="false">
      <c r="A34" s="17" t="s">
        <v>201</v>
      </c>
      <c r="B34" s="59" t="n">
        <f aca="false">COUNTIF(E7:E31,"&lt;=10")</f>
        <v>1</v>
      </c>
    </row>
    <row r="35" customFormat="false" ht="15" hidden="false" customHeight="false" outlineLevel="0" collapsed="false">
      <c r="A35" s="17" t="s">
        <v>202</v>
      </c>
      <c r="B35" s="59" t="n">
        <f aca="false">COUNTIF(F7:F31,"&gt;0")</f>
        <v>1</v>
      </c>
    </row>
    <row r="36" customFormat="false" ht="15" hidden="false" customHeight="false" outlineLevel="0" collapsed="false">
      <c r="A36" s="17" t="s">
        <v>203</v>
      </c>
      <c r="B36" s="59" t="n">
        <f aca="false">COUNTIF(F7:F31,"&lt;0")</f>
        <v>0</v>
      </c>
    </row>
    <row r="38" customFormat="false" ht="15" hidden="false" customHeight="false" outlineLevel="0" collapsed="false">
      <c r="A38" s="52" t="s">
        <v>204</v>
      </c>
    </row>
  </sheetData>
  <conditionalFormatting sqref="F7:F31">
    <cfRule type="cellIs" priority="2" operator="greaterThan" aboveAverage="0" equalAverage="0" bottom="0" percent="0" rank="0" text="" dxfId="11">
      <formula>0</formula>
    </cfRule>
    <cfRule type="cellIs" priority="3" operator="lessThan" aboveAverage="0" equalAverage="0" bottom="0" percent="0" rank="0" text="" dxfId="12">
      <formula>0</formula>
    </cfRule>
  </conditionalFormatting>
  <dataValidations count="2">
    <dataValidation allowBlank="true" errorStyle="stop" operator="between" showDropDown="false" showErrorMessage="false" showInputMessage="false" sqref="B7:B31" type="list">
      <formula1>"Local,Informativa,Transaccional,Navegacional"</formula1>
      <formula2>0</formula2>
    </dataValidation>
    <dataValidation allowBlank="true" errorStyle="stop" operator="between" showDropDown="false" showErrorMessage="false" showInputMessage="false" sqref="H7:H31" type="list">
      <formula1>"Alta,Media,Baja"</formula1>
      <formula2>0</formula2>
    </dataValidation>
  </dataValidations>
  <hyperlinks>
    <hyperlink ref="B3" r:id="rId1" display="APC Servicios Tecnológicos — By Alejandro Piraquive  |  WhatsApp / Tel: 333 745 0634"/>
    <hyperlink ref="B4" r:id="rId2" display="Web: serviciosapc.sit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serviciosapc.site  |  Alejandro Piraquive  |  333 745 0634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B"/>
    <pageSetUpPr fitToPage="tru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34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 t="s">
        <v>205</v>
      </c>
    </row>
    <row r="3" customFormat="false" ht="18" hidden="false" customHeight="true" outlineLevel="0" collapsed="false">
      <c r="B3" s="3" t="s">
        <v>2</v>
      </c>
    </row>
    <row r="4" customFormat="false" ht="18" hidden="false" customHeight="true" outlineLevel="0" collapsed="false">
      <c r="B4" s="3" t="s">
        <v>3</v>
      </c>
    </row>
    <row r="5" customFormat="false" ht="4.5" hidden="false" customHeight="true" outlineLevel="0" collapsed="false">
      <c r="A5" s="4"/>
      <c r="B5" s="4"/>
      <c r="C5" s="4"/>
      <c r="D5" s="4"/>
      <c r="E5" s="4"/>
      <c r="F5" s="4"/>
      <c r="G5" s="4"/>
    </row>
    <row r="6" customFormat="false" ht="27.75" hidden="false" customHeight="true" outlineLevel="0" collapsed="false">
      <c r="A6" s="8" t="s">
        <v>206</v>
      </c>
      <c r="B6" s="8" t="s">
        <v>207</v>
      </c>
      <c r="C6" s="8" t="s">
        <v>194</v>
      </c>
      <c r="D6" s="8" t="s">
        <v>208</v>
      </c>
      <c r="E6" s="8" t="s">
        <v>60</v>
      </c>
      <c r="F6" s="8" t="s">
        <v>209</v>
      </c>
      <c r="G6" s="8" t="s">
        <v>137</v>
      </c>
    </row>
    <row r="7" customFormat="false" ht="30" hidden="false" customHeight="true" outlineLevel="0" collapsed="false">
      <c r="A7" s="60" t="s">
        <v>210</v>
      </c>
      <c r="B7" s="61" t="s">
        <v>211</v>
      </c>
      <c r="C7" s="62" t="s">
        <v>198</v>
      </c>
      <c r="D7" s="62" t="s">
        <v>212</v>
      </c>
      <c r="E7" s="61"/>
      <c r="F7" s="63"/>
      <c r="G7" s="61"/>
    </row>
    <row r="8" customFormat="false" ht="30" hidden="false" customHeight="true" outlineLevel="0" collapsed="false">
      <c r="A8" s="60" t="s">
        <v>210</v>
      </c>
      <c r="B8" s="61" t="s">
        <v>213</v>
      </c>
      <c r="C8" s="62" t="s">
        <v>198</v>
      </c>
      <c r="D8" s="62" t="s">
        <v>212</v>
      </c>
      <c r="E8" s="61"/>
      <c r="F8" s="63"/>
      <c r="G8" s="61"/>
    </row>
    <row r="9" customFormat="false" ht="30" hidden="false" customHeight="true" outlineLevel="0" collapsed="false">
      <c r="A9" s="60" t="s">
        <v>210</v>
      </c>
      <c r="B9" s="61" t="s">
        <v>214</v>
      </c>
      <c r="C9" s="62" t="s">
        <v>215</v>
      </c>
      <c r="D9" s="62" t="s">
        <v>212</v>
      </c>
      <c r="E9" s="61"/>
      <c r="F9" s="63"/>
      <c r="G9" s="61"/>
    </row>
    <row r="10" customFormat="false" ht="30" hidden="false" customHeight="true" outlineLevel="0" collapsed="false">
      <c r="A10" s="60" t="s">
        <v>210</v>
      </c>
      <c r="B10" s="61" t="s">
        <v>216</v>
      </c>
      <c r="C10" s="62" t="s">
        <v>198</v>
      </c>
      <c r="D10" s="62" t="s">
        <v>212</v>
      </c>
      <c r="E10" s="61"/>
      <c r="F10" s="63"/>
      <c r="G10" s="61"/>
    </row>
    <row r="11" customFormat="false" ht="30" hidden="false" customHeight="true" outlineLevel="0" collapsed="false">
      <c r="A11" s="60" t="s">
        <v>210</v>
      </c>
      <c r="B11" s="61" t="s">
        <v>217</v>
      </c>
      <c r="C11" s="62" t="s">
        <v>215</v>
      </c>
      <c r="D11" s="62" t="s">
        <v>212</v>
      </c>
      <c r="E11" s="61"/>
      <c r="F11" s="63"/>
      <c r="G11" s="61"/>
    </row>
    <row r="12" customFormat="false" ht="30" hidden="false" customHeight="true" outlineLevel="0" collapsed="false">
      <c r="A12" s="60" t="s">
        <v>218</v>
      </c>
      <c r="B12" s="61" t="s">
        <v>219</v>
      </c>
      <c r="C12" s="62" t="s">
        <v>198</v>
      </c>
      <c r="D12" s="62" t="s">
        <v>212</v>
      </c>
      <c r="E12" s="61"/>
      <c r="F12" s="63"/>
      <c r="G12" s="61"/>
    </row>
    <row r="13" customFormat="false" ht="30" hidden="false" customHeight="true" outlineLevel="0" collapsed="false">
      <c r="A13" s="60" t="s">
        <v>218</v>
      </c>
      <c r="B13" s="61" t="s">
        <v>220</v>
      </c>
      <c r="C13" s="62" t="s">
        <v>198</v>
      </c>
      <c r="D13" s="62" t="s">
        <v>212</v>
      </c>
      <c r="E13" s="61"/>
      <c r="F13" s="63"/>
      <c r="G13" s="61"/>
    </row>
    <row r="14" customFormat="false" ht="30" hidden="false" customHeight="true" outlineLevel="0" collapsed="false">
      <c r="A14" s="60" t="s">
        <v>218</v>
      </c>
      <c r="B14" s="61" t="s">
        <v>221</v>
      </c>
      <c r="C14" s="62" t="s">
        <v>215</v>
      </c>
      <c r="D14" s="62" t="s">
        <v>212</v>
      </c>
      <c r="E14" s="61"/>
      <c r="F14" s="63"/>
      <c r="G14" s="61"/>
    </row>
    <row r="15" customFormat="false" ht="30" hidden="false" customHeight="true" outlineLevel="0" collapsed="false">
      <c r="A15" s="60" t="s">
        <v>218</v>
      </c>
      <c r="B15" s="61" t="s">
        <v>222</v>
      </c>
      <c r="C15" s="62" t="s">
        <v>215</v>
      </c>
      <c r="D15" s="62" t="s">
        <v>212</v>
      </c>
      <c r="E15" s="61"/>
      <c r="F15" s="63"/>
      <c r="G15" s="61"/>
    </row>
    <row r="16" customFormat="false" ht="30" hidden="false" customHeight="true" outlineLevel="0" collapsed="false">
      <c r="A16" s="60" t="s">
        <v>218</v>
      </c>
      <c r="B16" s="61" t="s">
        <v>223</v>
      </c>
      <c r="C16" s="62" t="s">
        <v>224</v>
      </c>
      <c r="D16" s="62" t="s">
        <v>212</v>
      </c>
      <c r="E16" s="61"/>
      <c r="F16" s="63"/>
      <c r="G16" s="61"/>
    </row>
    <row r="17" customFormat="false" ht="30" hidden="false" customHeight="true" outlineLevel="0" collapsed="false">
      <c r="A17" s="60" t="s">
        <v>225</v>
      </c>
      <c r="B17" s="61" t="s">
        <v>226</v>
      </c>
      <c r="C17" s="62" t="s">
        <v>198</v>
      </c>
      <c r="D17" s="62" t="s">
        <v>212</v>
      </c>
      <c r="E17" s="61"/>
      <c r="F17" s="63"/>
      <c r="G17" s="61"/>
    </row>
    <row r="18" customFormat="false" ht="30" hidden="false" customHeight="true" outlineLevel="0" collapsed="false">
      <c r="A18" s="60" t="s">
        <v>225</v>
      </c>
      <c r="B18" s="61" t="s">
        <v>227</v>
      </c>
      <c r="C18" s="62" t="s">
        <v>198</v>
      </c>
      <c r="D18" s="62" t="s">
        <v>212</v>
      </c>
      <c r="E18" s="61"/>
      <c r="F18" s="63"/>
      <c r="G18" s="61"/>
    </row>
    <row r="19" customFormat="false" ht="30" hidden="false" customHeight="true" outlineLevel="0" collapsed="false">
      <c r="A19" s="60" t="s">
        <v>225</v>
      </c>
      <c r="B19" s="61" t="s">
        <v>228</v>
      </c>
      <c r="C19" s="62" t="s">
        <v>198</v>
      </c>
      <c r="D19" s="62" t="s">
        <v>212</v>
      </c>
      <c r="E19" s="61"/>
      <c r="F19" s="63"/>
      <c r="G19" s="61"/>
    </row>
    <row r="20" customFormat="false" ht="30" hidden="false" customHeight="true" outlineLevel="0" collapsed="false">
      <c r="A20" s="60" t="s">
        <v>225</v>
      </c>
      <c r="B20" s="61" t="s">
        <v>229</v>
      </c>
      <c r="C20" s="62" t="s">
        <v>215</v>
      </c>
      <c r="D20" s="62" t="s">
        <v>212</v>
      </c>
      <c r="E20" s="61"/>
      <c r="F20" s="63"/>
      <c r="G20" s="61"/>
    </row>
    <row r="21" customFormat="false" ht="30" hidden="false" customHeight="true" outlineLevel="0" collapsed="false">
      <c r="A21" s="60" t="s">
        <v>225</v>
      </c>
      <c r="B21" s="61" t="s">
        <v>230</v>
      </c>
      <c r="C21" s="62" t="s">
        <v>215</v>
      </c>
      <c r="D21" s="62" t="s">
        <v>212</v>
      </c>
      <c r="E21" s="61"/>
      <c r="F21" s="63"/>
      <c r="G21" s="61"/>
    </row>
    <row r="22" customFormat="false" ht="30" hidden="false" customHeight="true" outlineLevel="0" collapsed="false">
      <c r="A22" s="60" t="s">
        <v>231</v>
      </c>
      <c r="B22" s="61" t="s">
        <v>232</v>
      </c>
      <c r="C22" s="62" t="s">
        <v>215</v>
      </c>
      <c r="D22" s="62" t="s">
        <v>212</v>
      </c>
      <c r="E22" s="61"/>
      <c r="F22" s="63"/>
      <c r="G22" s="61"/>
    </row>
    <row r="23" customFormat="false" ht="30" hidden="false" customHeight="true" outlineLevel="0" collapsed="false">
      <c r="A23" s="60" t="s">
        <v>231</v>
      </c>
      <c r="B23" s="61" t="s">
        <v>233</v>
      </c>
      <c r="C23" s="62" t="s">
        <v>215</v>
      </c>
      <c r="D23" s="62" t="s">
        <v>212</v>
      </c>
      <c r="E23" s="61"/>
      <c r="F23" s="63"/>
      <c r="G23" s="61"/>
    </row>
    <row r="24" customFormat="false" ht="30" hidden="false" customHeight="true" outlineLevel="0" collapsed="false">
      <c r="A24" s="60" t="s">
        <v>231</v>
      </c>
      <c r="B24" s="61" t="s">
        <v>234</v>
      </c>
      <c r="C24" s="62" t="s">
        <v>215</v>
      </c>
      <c r="D24" s="62" t="s">
        <v>212</v>
      </c>
      <c r="E24" s="61"/>
      <c r="F24" s="63"/>
      <c r="G24" s="61"/>
    </row>
    <row r="25" customFormat="false" ht="30" hidden="false" customHeight="true" outlineLevel="0" collapsed="false">
      <c r="A25" s="60" t="s">
        <v>235</v>
      </c>
      <c r="B25" s="61" t="s">
        <v>236</v>
      </c>
      <c r="C25" s="62" t="s">
        <v>198</v>
      </c>
      <c r="D25" s="62" t="s">
        <v>212</v>
      </c>
      <c r="E25" s="61"/>
      <c r="F25" s="63"/>
      <c r="G25" s="61"/>
    </row>
    <row r="26" customFormat="false" ht="30" hidden="false" customHeight="true" outlineLevel="0" collapsed="false">
      <c r="A26" s="60" t="s">
        <v>235</v>
      </c>
      <c r="B26" s="61" t="s">
        <v>237</v>
      </c>
      <c r="C26" s="62" t="s">
        <v>198</v>
      </c>
      <c r="D26" s="62" t="s">
        <v>212</v>
      </c>
      <c r="E26" s="61"/>
      <c r="F26" s="63"/>
      <c r="G26" s="61"/>
    </row>
    <row r="28" customFormat="false" ht="15" hidden="false" customHeight="false" outlineLevel="0" collapsed="false">
      <c r="B28" s="17" t="s">
        <v>238</v>
      </c>
      <c r="C28" s="59" t="n">
        <f aca="false">COUNTIF(D7:D26,"Listo")</f>
        <v>0</v>
      </c>
    </row>
    <row r="29" customFormat="false" ht="15" hidden="false" customHeight="false" outlineLevel="0" collapsed="false">
      <c r="B29" s="17" t="s">
        <v>239</v>
      </c>
      <c r="C29" s="59" t="n">
        <f aca="false">COUNTIF(D7:D26,"En curso")</f>
        <v>0</v>
      </c>
    </row>
    <row r="30" customFormat="false" ht="15" hidden="false" customHeight="false" outlineLevel="0" collapsed="false">
      <c r="B30" s="64" t="s">
        <v>240</v>
      </c>
      <c r="C30" s="65" t="n">
        <f aca="false">IF(COUNTA(B7:B26)=0,"",C28/COUNTA(B7:B26))</f>
        <v>0</v>
      </c>
    </row>
  </sheetData>
  <conditionalFormatting sqref="D7:D26">
    <cfRule type="cellIs" priority="2" operator="equal" aboveAverage="0" equalAverage="0" bottom="0" percent="0" rank="0" text="" dxfId="11">
      <formula>"Listo"</formula>
    </cfRule>
    <cfRule type="cellIs" priority="3" operator="equal" aboveAverage="0" equalAverage="0" bottom="0" percent="0" rank="0" text="" dxfId="13">
      <formula>"En curso"</formula>
    </cfRule>
  </conditionalFormatting>
  <dataValidations count="2">
    <dataValidation allowBlank="false" errorStyle="stop" operator="between" showDropDown="false" showErrorMessage="false" showInputMessage="false" sqref="D7:D26" type="list">
      <formula1>"Pendiente,En curso,Listo"</formula1>
      <formula2>0</formula2>
    </dataValidation>
    <dataValidation allowBlank="true" errorStyle="stop" operator="between" showDropDown="false" showErrorMessage="false" showInputMessage="false" sqref="C7:C26" type="list">
      <formula1>"Alta,Media,Baja"</formula1>
      <formula2>0</formula2>
    </dataValidation>
  </dataValidations>
  <hyperlinks>
    <hyperlink ref="B3" r:id="rId1" display="APC Servicios Tecnológicos — By Alejandro Piraquive  |  WhatsApp / Tel: 333 745 0634"/>
    <hyperlink ref="B4" r:id="rId2" display="Web: serviciosapc.sit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serviciosapc.site  |  Alejandro Piraquive  |  333 745 0634</oddFooter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B"/>
    <pageSetUpPr fitToPage="true"/>
  </sheetPr>
  <dimension ref="A1:R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3" min="12" style="0" width="14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8"/>
    <col collapsed="false" customWidth="true" hidden="false" outlineLevel="0" max="18" min="18" style="0" width="10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 t="s">
        <v>241</v>
      </c>
    </row>
    <row r="3" customFormat="false" ht="18" hidden="false" customHeight="true" outlineLevel="0" collapsed="false">
      <c r="B3" s="3" t="s">
        <v>2</v>
      </c>
    </row>
    <row r="4" customFormat="false" ht="18" hidden="false" customHeight="true" outlineLevel="0" collapsed="false">
      <c r="B4" s="3" t="s">
        <v>3</v>
      </c>
    </row>
    <row r="5" customFormat="false" ht="4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customFormat="false" ht="57.75" hidden="false" customHeight="true" outlineLevel="0" collapsed="false">
      <c r="A6" s="8" t="s">
        <v>174</v>
      </c>
      <c r="B6" s="8" t="s">
        <v>242</v>
      </c>
      <c r="C6" s="8" t="s">
        <v>175</v>
      </c>
      <c r="D6" s="8" t="s">
        <v>243</v>
      </c>
      <c r="E6" s="8" t="s">
        <v>244</v>
      </c>
      <c r="F6" s="8" t="s">
        <v>88</v>
      </c>
      <c r="G6" s="8" t="s">
        <v>245</v>
      </c>
      <c r="H6" s="8" t="s">
        <v>246</v>
      </c>
      <c r="I6" s="8" t="s">
        <v>176</v>
      </c>
      <c r="J6" s="8" t="s">
        <v>135</v>
      </c>
      <c r="K6" s="8" t="s">
        <v>136</v>
      </c>
      <c r="L6" s="8" t="s">
        <v>71</v>
      </c>
      <c r="M6" s="8" t="s">
        <v>73</v>
      </c>
      <c r="N6" s="8" t="s">
        <v>247</v>
      </c>
      <c r="O6" s="8" t="s">
        <v>248</v>
      </c>
      <c r="P6" s="8" t="s">
        <v>249</v>
      </c>
      <c r="Q6" s="8" t="s">
        <v>250</v>
      </c>
      <c r="R6" s="8" t="s">
        <v>251</v>
      </c>
    </row>
    <row r="7" customFormat="false" ht="15" hidden="false" customHeight="false" outlineLevel="0" collapsed="false">
      <c r="A7" s="53" t="n">
        <f aca="false">SEO_Mensual!A7</f>
        <v>46023</v>
      </c>
      <c r="B7" s="29" t="n">
        <f aca="false">SEO_Mensual!B7</f>
        <v>42000</v>
      </c>
      <c r="C7" s="29" t="n">
        <f aca="false">SEO_Mensual!C7</f>
        <v>1850</v>
      </c>
      <c r="D7" s="29" t="n">
        <f aca="false">SEO_Mensual!J7</f>
        <v>364</v>
      </c>
      <c r="E7" s="29" t="n">
        <f aca="false">SUMIFS(Datos_CCTV!$D$7:$D$372,Datos_CCTV!$A$7:$A$372,"&gt;="&amp;$A7,Datos_CCTV!$A$7:$A$372,"&lt;"&amp;EDATE($A7,1))</f>
        <v>1250</v>
      </c>
      <c r="F7" s="29" t="n">
        <f aca="false">SUMIFS(Datos_CCTV!$E$7:$E$372,Datos_CCTV!$A$7:$A$372,"&gt;="&amp;$A7,Datos_CCTV!$A$7:$A$372,"&lt;"&amp;EDATE($A7,1))</f>
        <v>118</v>
      </c>
      <c r="G7" s="29" t="n">
        <f aca="false">SUMIFS(Datos_CCTV!$I$7:$I$372,Datos_CCTV!$A$7:$A$372,"&gt;="&amp;$A7,Datos_CCTV!$A$7:$A$372,"&lt;"&amp;EDATE($A7,1))</f>
        <v>31</v>
      </c>
      <c r="H7" s="66" t="n">
        <f aca="false">SUMIFS(Datos_CCTV!$J$7:$J$372,Datos_CCTV!$A$7:$A$372,"&gt;="&amp;$A7,Datos_CCTV!$A$7:$A$372,"&lt;"&amp;EDATE($A7,1))</f>
        <v>1860000</v>
      </c>
      <c r="I7" s="30" t="n">
        <f aca="false">IF(B7=0,"",C7/B7)</f>
        <v>0.0440476190476191</v>
      </c>
      <c r="J7" s="30" t="n">
        <f aca="false">IF(E7=0,"",F7/E7)</f>
        <v>0.0944</v>
      </c>
      <c r="K7" s="30" t="n">
        <f aca="false">IF(F7=0,"",G7/F7)</f>
        <v>0.26271186440678</v>
      </c>
      <c r="L7" s="66" t="n">
        <f aca="false">IF(G7=0,"",H7/G7)</f>
        <v>60000</v>
      </c>
      <c r="M7" s="66" t="n">
        <f aca="false">IF(F7=0,"",H7/F7)</f>
        <v>15762.7118644068</v>
      </c>
      <c r="N7" s="30" t="n">
        <f aca="false">Config!$C$15</f>
        <v>0.25</v>
      </c>
      <c r="O7" s="67" t="n">
        <f aca="false">IF(K7="","",K7-N7)</f>
        <v>0.0127118644067797</v>
      </c>
      <c r="P7" s="66" t="n">
        <f aca="false">IF(OR(K7="",L7=""),"",MAX(0,N7-K7)*F7*L7)</f>
        <v>0</v>
      </c>
      <c r="Q7" s="66" t="n">
        <f aca="false">H7*Config!$C$16</f>
        <v>651000</v>
      </c>
      <c r="R7" s="39" t="str">
        <f aca="false">CHOOSE(MONTH(A7),"Ene","Feb","Mar","Abr","May","Jun","Jul","Ago","Sep","Oct","Nov","Dic")</f>
        <v>Ene</v>
      </c>
    </row>
    <row r="8" customFormat="false" ht="15" hidden="false" customHeight="false" outlineLevel="0" collapsed="false">
      <c r="A8" s="53" t="n">
        <f aca="false">SEO_Mensual!A8</f>
        <v>46054</v>
      </c>
      <c r="B8" s="29" t="n">
        <f aca="false">SEO_Mensual!B8</f>
        <v>0</v>
      </c>
      <c r="C8" s="29" t="n">
        <f aca="false">SEO_Mensual!C8</f>
        <v>0</v>
      </c>
      <c r="D8" s="29" t="str">
        <f aca="false">SEO_Mensual!J8</f>
        <v/>
      </c>
      <c r="E8" s="29" t="n">
        <f aca="false">SUMIFS(Datos_CCTV!$D$7:$D$372,Datos_CCTV!$A$7:$A$372,"&gt;="&amp;$A8,Datos_CCTV!$A$7:$A$372,"&lt;"&amp;EDATE($A8,1))</f>
        <v>0</v>
      </c>
      <c r="F8" s="29" t="n">
        <f aca="false">SUMIFS(Datos_CCTV!$E$7:$E$372,Datos_CCTV!$A$7:$A$372,"&gt;="&amp;$A8,Datos_CCTV!$A$7:$A$372,"&lt;"&amp;EDATE($A8,1))</f>
        <v>0</v>
      </c>
      <c r="G8" s="29" t="n">
        <f aca="false">SUMIFS(Datos_CCTV!$I$7:$I$372,Datos_CCTV!$A$7:$A$372,"&gt;="&amp;$A8,Datos_CCTV!$A$7:$A$372,"&lt;"&amp;EDATE($A8,1))</f>
        <v>0</v>
      </c>
      <c r="H8" s="66" t="n">
        <f aca="false">SUMIFS(Datos_CCTV!$J$7:$J$372,Datos_CCTV!$A$7:$A$372,"&gt;="&amp;$A8,Datos_CCTV!$A$7:$A$372,"&lt;"&amp;EDATE($A8,1))</f>
        <v>0</v>
      </c>
      <c r="I8" s="30" t="str">
        <f aca="false">IF(B8=0,"",C8/B8)</f>
        <v/>
      </c>
      <c r="J8" s="30" t="str">
        <f aca="false">IF(E8=0,"",F8/E8)</f>
        <v/>
      </c>
      <c r="K8" s="30" t="str">
        <f aca="false">IF(F8=0,"",G8/F8)</f>
        <v/>
      </c>
      <c r="L8" s="66" t="str">
        <f aca="false">IF(G8=0,"",H8/G8)</f>
        <v/>
      </c>
      <c r="M8" s="66" t="str">
        <f aca="false">IF(F8=0,"",H8/F8)</f>
        <v/>
      </c>
      <c r="N8" s="30" t="n">
        <f aca="false">Config!$C$15</f>
        <v>0.25</v>
      </c>
      <c r="O8" s="67" t="str">
        <f aca="false">IF(K8="","",K8-N8)</f>
        <v/>
      </c>
      <c r="P8" s="66" t="str">
        <f aca="false">IF(OR(K8="",L8=""),"",MAX(0,N8-K8)*F8*L8)</f>
        <v/>
      </c>
      <c r="Q8" s="66" t="n">
        <f aca="false">H8*Config!$C$16</f>
        <v>0</v>
      </c>
      <c r="R8" s="39" t="str">
        <f aca="false">CHOOSE(MONTH(A8),"Ene","Feb","Mar","Abr","May","Jun","Jul","Ago","Sep","Oct","Nov","Dic")</f>
        <v>Feb</v>
      </c>
    </row>
    <row r="9" customFormat="false" ht="15" hidden="false" customHeight="false" outlineLevel="0" collapsed="false">
      <c r="A9" s="53" t="n">
        <f aca="false">SEO_Mensual!A9</f>
        <v>46082</v>
      </c>
      <c r="B9" s="29" t="n">
        <f aca="false">SEO_Mensual!B9</f>
        <v>0</v>
      </c>
      <c r="C9" s="29" t="n">
        <f aca="false">SEO_Mensual!C9</f>
        <v>0</v>
      </c>
      <c r="D9" s="29" t="str">
        <f aca="false">SEO_Mensual!J9</f>
        <v/>
      </c>
      <c r="E9" s="29" t="n">
        <f aca="false">SUMIFS(Datos_CCTV!$D$7:$D$372,Datos_CCTV!$A$7:$A$372,"&gt;="&amp;$A9,Datos_CCTV!$A$7:$A$372,"&lt;"&amp;EDATE($A9,1))</f>
        <v>0</v>
      </c>
      <c r="F9" s="29" t="n">
        <f aca="false">SUMIFS(Datos_CCTV!$E$7:$E$372,Datos_CCTV!$A$7:$A$372,"&gt;="&amp;$A9,Datos_CCTV!$A$7:$A$372,"&lt;"&amp;EDATE($A9,1))</f>
        <v>0</v>
      </c>
      <c r="G9" s="29" t="n">
        <f aca="false">SUMIFS(Datos_CCTV!$I$7:$I$372,Datos_CCTV!$A$7:$A$372,"&gt;="&amp;$A9,Datos_CCTV!$A$7:$A$372,"&lt;"&amp;EDATE($A9,1))</f>
        <v>0</v>
      </c>
      <c r="H9" s="66" t="n">
        <f aca="false">SUMIFS(Datos_CCTV!$J$7:$J$372,Datos_CCTV!$A$7:$A$372,"&gt;="&amp;$A9,Datos_CCTV!$A$7:$A$372,"&lt;"&amp;EDATE($A9,1))</f>
        <v>0</v>
      </c>
      <c r="I9" s="30" t="str">
        <f aca="false">IF(B9=0,"",C9/B9)</f>
        <v/>
      </c>
      <c r="J9" s="30" t="str">
        <f aca="false">IF(E9=0,"",F9/E9)</f>
        <v/>
      </c>
      <c r="K9" s="30" t="str">
        <f aca="false">IF(F9=0,"",G9/F9)</f>
        <v/>
      </c>
      <c r="L9" s="66" t="str">
        <f aca="false">IF(G9=0,"",H9/G9)</f>
        <v/>
      </c>
      <c r="M9" s="66" t="str">
        <f aca="false">IF(F9=0,"",H9/F9)</f>
        <v/>
      </c>
      <c r="N9" s="30" t="n">
        <f aca="false">Config!$C$15</f>
        <v>0.25</v>
      </c>
      <c r="O9" s="67" t="str">
        <f aca="false">IF(K9="","",K9-N9)</f>
        <v/>
      </c>
      <c r="P9" s="66" t="str">
        <f aca="false">IF(OR(K9="",L9=""),"",MAX(0,N9-K9)*F9*L9)</f>
        <v/>
      </c>
      <c r="Q9" s="66" t="n">
        <f aca="false">H9*Config!$C$16</f>
        <v>0</v>
      </c>
      <c r="R9" s="39" t="str">
        <f aca="false">CHOOSE(MONTH(A9),"Ene","Feb","Mar","Abr","May","Jun","Jul","Ago","Sep","Oct","Nov","Dic")</f>
        <v>Mar</v>
      </c>
    </row>
    <row r="10" customFormat="false" ht="15" hidden="false" customHeight="false" outlineLevel="0" collapsed="false">
      <c r="A10" s="53" t="n">
        <f aca="false">SEO_Mensual!A10</f>
        <v>46113</v>
      </c>
      <c r="B10" s="29" t="n">
        <f aca="false">SEO_Mensual!B10</f>
        <v>0</v>
      </c>
      <c r="C10" s="29" t="n">
        <f aca="false">SEO_Mensual!C10</f>
        <v>0</v>
      </c>
      <c r="D10" s="29" t="str">
        <f aca="false">SEO_Mensual!J10</f>
        <v/>
      </c>
      <c r="E10" s="29" t="n">
        <f aca="false">SUMIFS(Datos_CCTV!$D$7:$D$372,Datos_CCTV!$A$7:$A$372,"&gt;="&amp;$A10,Datos_CCTV!$A$7:$A$372,"&lt;"&amp;EDATE($A10,1))</f>
        <v>0</v>
      </c>
      <c r="F10" s="29" t="n">
        <f aca="false">SUMIFS(Datos_CCTV!$E$7:$E$372,Datos_CCTV!$A$7:$A$372,"&gt;="&amp;$A10,Datos_CCTV!$A$7:$A$372,"&lt;"&amp;EDATE($A10,1))</f>
        <v>0</v>
      </c>
      <c r="G10" s="29" t="n">
        <f aca="false">SUMIFS(Datos_CCTV!$I$7:$I$372,Datos_CCTV!$A$7:$A$372,"&gt;="&amp;$A10,Datos_CCTV!$A$7:$A$372,"&lt;"&amp;EDATE($A10,1))</f>
        <v>0</v>
      </c>
      <c r="H10" s="66" t="n">
        <f aca="false">SUMIFS(Datos_CCTV!$J$7:$J$372,Datos_CCTV!$A$7:$A$372,"&gt;="&amp;$A10,Datos_CCTV!$A$7:$A$372,"&lt;"&amp;EDATE($A10,1))</f>
        <v>0</v>
      </c>
      <c r="I10" s="30" t="str">
        <f aca="false">IF(B10=0,"",C10/B10)</f>
        <v/>
      </c>
      <c r="J10" s="30" t="str">
        <f aca="false">IF(E10=0,"",F10/E10)</f>
        <v/>
      </c>
      <c r="K10" s="30" t="str">
        <f aca="false">IF(F10=0,"",G10/F10)</f>
        <v/>
      </c>
      <c r="L10" s="66" t="str">
        <f aca="false">IF(G10=0,"",H10/G10)</f>
        <v/>
      </c>
      <c r="M10" s="66" t="str">
        <f aca="false">IF(F10=0,"",H10/F10)</f>
        <v/>
      </c>
      <c r="N10" s="30" t="n">
        <f aca="false">Config!$C$15</f>
        <v>0.25</v>
      </c>
      <c r="O10" s="67" t="str">
        <f aca="false">IF(K10="","",K10-N10)</f>
        <v/>
      </c>
      <c r="P10" s="66" t="str">
        <f aca="false">IF(OR(K10="",L10=""),"",MAX(0,N10-K10)*F10*L10)</f>
        <v/>
      </c>
      <c r="Q10" s="66" t="n">
        <f aca="false">H10*Config!$C$16</f>
        <v>0</v>
      </c>
      <c r="R10" s="39" t="str">
        <f aca="false">CHOOSE(MONTH(A10),"Ene","Feb","Mar","Abr","May","Jun","Jul","Ago","Sep","Oct","Nov","Dic")</f>
        <v>Abr</v>
      </c>
    </row>
    <row r="11" customFormat="false" ht="15" hidden="false" customHeight="false" outlineLevel="0" collapsed="false">
      <c r="A11" s="53" t="n">
        <f aca="false">SEO_Mensual!A11</f>
        <v>46143</v>
      </c>
      <c r="B11" s="29" t="n">
        <f aca="false">SEO_Mensual!B11</f>
        <v>0</v>
      </c>
      <c r="C11" s="29" t="n">
        <f aca="false">SEO_Mensual!C11</f>
        <v>0</v>
      </c>
      <c r="D11" s="29" t="str">
        <f aca="false">SEO_Mensual!J11</f>
        <v/>
      </c>
      <c r="E11" s="29" t="n">
        <f aca="false">SUMIFS(Datos_CCTV!$D$7:$D$372,Datos_CCTV!$A$7:$A$372,"&gt;="&amp;$A11,Datos_CCTV!$A$7:$A$372,"&lt;"&amp;EDATE($A11,1))</f>
        <v>0</v>
      </c>
      <c r="F11" s="29" t="n">
        <f aca="false">SUMIFS(Datos_CCTV!$E$7:$E$372,Datos_CCTV!$A$7:$A$372,"&gt;="&amp;$A11,Datos_CCTV!$A$7:$A$372,"&lt;"&amp;EDATE($A11,1))</f>
        <v>0</v>
      </c>
      <c r="G11" s="29" t="n">
        <f aca="false">SUMIFS(Datos_CCTV!$I$7:$I$372,Datos_CCTV!$A$7:$A$372,"&gt;="&amp;$A11,Datos_CCTV!$A$7:$A$372,"&lt;"&amp;EDATE($A11,1))</f>
        <v>0</v>
      </c>
      <c r="H11" s="66" t="n">
        <f aca="false">SUMIFS(Datos_CCTV!$J$7:$J$372,Datos_CCTV!$A$7:$A$372,"&gt;="&amp;$A11,Datos_CCTV!$A$7:$A$372,"&lt;"&amp;EDATE($A11,1))</f>
        <v>0</v>
      </c>
      <c r="I11" s="30" t="str">
        <f aca="false">IF(B11=0,"",C11/B11)</f>
        <v/>
      </c>
      <c r="J11" s="30" t="str">
        <f aca="false">IF(E11=0,"",F11/E11)</f>
        <v/>
      </c>
      <c r="K11" s="30" t="str">
        <f aca="false">IF(F11=0,"",G11/F11)</f>
        <v/>
      </c>
      <c r="L11" s="66" t="str">
        <f aca="false">IF(G11=0,"",H11/G11)</f>
        <v/>
      </c>
      <c r="M11" s="66" t="str">
        <f aca="false">IF(F11=0,"",H11/F11)</f>
        <v/>
      </c>
      <c r="N11" s="30" t="n">
        <f aca="false">Config!$C$15</f>
        <v>0.25</v>
      </c>
      <c r="O11" s="67" t="str">
        <f aca="false">IF(K11="","",K11-N11)</f>
        <v/>
      </c>
      <c r="P11" s="66" t="str">
        <f aca="false">IF(OR(K11="",L11=""),"",MAX(0,N11-K11)*F11*L11)</f>
        <v/>
      </c>
      <c r="Q11" s="66" t="n">
        <f aca="false">H11*Config!$C$16</f>
        <v>0</v>
      </c>
      <c r="R11" s="39" t="str">
        <f aca="false">CHOOSE(MONTH(A11),"Ene","Feb","Mar","Abr","May","Jun","Jul","Ago","Sep","Oct","Nov","Dic")</f>
        <v>May</v>
      </c>
    </row>
    <row r="12" customFormat="false" ht="15" hidden="false" customHeight="false" outlineLevel="0" collapsed="false">
      <c r="A12" s="53" t="n">
        <f aca="false">SEO_Mensual!A12</f>
        <v>46174</v>
      </c>
      <c r="B12" s="29" t="n">
        <f aca="false">SEO_Mensual!B12</f>
        <v>0</v>
      </c>
      <c r="C12" s="29" t="n">
        <f aca="false">SEO_Mensual!C12</f>
        <v>0</v>
      </c>
      <c r="D12" s="29" t="str">
        <f aca="false">SEO_Mensual!J12</f>
        <v/>
      </c>
      <c r="E12" s="29" t="n">
        <f aca="false">SUMIFS(Datos_CCTV!$D$7:$D$372,Datos_CCTV!$A$7:$A$372,"&gt;="&amp;$A12,Datos_CCTV!$A$7:$A$372,"&lt;"&amp;EDATE($A12,1))</f>
        <v>0</v>
      </c>
      <c r="F12" s="29" t="n">
        <f aca="false">SUMIFS(Datos_CCTV!$E$7:$E$372,Datos_CCTV!$A$7:$A$372,"&gt;="&amp;$A12,Datos_CCTV!$A$7:$A$372,"&lt;"&amp;EDATE($A12,1))</f>
        <v>0</v>
      </c>
      <c r="G12" s="29" t="n">
        <f aca="false">SUMIFS(Datos_CCTV!$I$7:$I$372,Datos_CCTV!$A$7:$A$372,"&gt;="&amp;$A12,Datos_CCTV!$A$7:$A$372,"&lt;"&amp;EDATE($A12,1))</f>
        <v>0</v>
      </c>
      <c r="H12" s="66" t="n">
        <f aca="false">SUMIFS(Datos_CCTV!$J$7:$J$372,Datos_CCTV!$A$7:$A$372,"&gt;="&amp;$A12,Datos_CCTV!$A$7:$A$372,"&lt;"&amp;EDATE($A12,1))</f>
        <v>0</v>
      </c>
      <c r="I12" s="30" t="str">
        <f aca="false">IF(B12=0,"",C12/B12)</f>
        <v/>
      </c>
      <c r="J12" s="30" t="str">
        <f aca="false">IF(E12=0,"",F12/E12)</f>
        <v/>
      </c>
      <c r="K12" s="30" t="str">
        <f aca="false">IF(F12=0,"",G12/F12)</f>
        <v/>
      </c>
      <c r="L12" s="66" t="str">
        <f aca="false">IF(G12=0,"",H12/G12)</f>
        <v/>
      </c>
      <c r="M12" s="66" t="str">
        <f aca="false">IF(F12=0,"",H12/F12)</f>
        <v/>
      </c>
      <c r="N12" s="30" t="n">
        <f aca="false">Config!$C$15</f>
        <v>0.25</v>
      </c>
      <c r="O12" s="67" t="str">
        <f aca="false">IF(K12="","",K12-N12)</f>
        <v/>
      </c>
      <c r="P12" s="66" t="str">
        <f aca="false">IF(OR(K12="",L12=""),"",MAX(0,N12-K12)*F12*L12)</f>
        <v/>
      </c>
      <c r="Q12" s="66" t="n">
        <f aca="false">H12*Config!$C$16</f>
        <v>0</v>
      </c>
      <c r="R12" s="39" t="str">
        <f aca="false">CHOOSE(MONTH(A12),"Ene","Feb","Mar","Abr","May","Jun","Jul","Ago","Sep","Oct","Nov","Dic")</f>
        <v>Jun</v>
      </c>
    </row>
    <row r="13" customFormat="false" ht="15" hidden="false" customHeight="false" outlineLevel="0" collapsed="false">
      <c r="A13" s="53" t="n">
        <f aca="false">SEO_Mensual!A13</f>
        <v>46204</v>
      </c>
      <c r="B13" s="29" t="n">
        <f aca="false">SEO_Mensual!B13</f>
        <v>0</v>
      </c>
      <c r="C13" s="29" t="n">
        <f aca="false">SEO_Mensual!C13</f>
        <v>0</v>
      </c>
      <c r="D13" s="29" t="str">
        <f aca="false">SEO_Mensual!J13</f>
        <v/>
      </c>
      <c r="E13" s="29" t="n">
        <f aca="false">SUMIFS(Datos_CCTV!$D$7:$D$372,Datos_CCTV!$A$7:$A$372,"&gt;="&amp;$A13,Datos_CCTV!$A$7:$A$372,"&lt;"&amp;EDATE($A13,1))</f>
        <v>0</v>
      </c>
      <c r="F13" s="29" t="n">
        <f aca="false">SUMIFS(Datos_CCTV!$E$7:$E$372,Datos_CCTV!$A$7:$A$372,"&gt;="&amp;$A13,Datos_CCTV!$A$7:$A$372,"&lt;"&amp;EDATE($A13,1))</f>
        <v>0</v>
      </c>
      <c r="G13" s="29" t="n">
        <f aca="false">SUMIFS(Datos_CCTV!$I$7:$I$372,Datos_CCTV!$A$7:$A$372,"&gt;="&amp;$A13,Datos_CCTV!$A$7:$A$372,"&lt;"&amp;EDATE($A13,1))</f>
        <v>0</v>
      </c>
      <c r="H13" s="66" t="n">
        <f aca="false">SUMIFS(Datos_CCTV!$J$7:$J$372,Datos_CCTV!$A$7:$A$372,"&gt;="&amp;$A13,Datos_CCTV!$A$7:$A$372,"&lt;"&amp;EDATE($A13,1))</f>
        <v>0</v>
      </c>
      <c r="I13" s="30" t="str">
        <f aca="false">IF(B13=0,"",C13/B13)</f>
        <v/>
      </c>
      <c r="J13" s="30" t="str">
        <f aca="false">IF(E13=0,"",F13/E13)</f>
        <v/>
      </c>
      <c r="K13" s="30" t="str">
        <f aca="false">IF(F13=0,"",G13/F13)</f>
        <v/>
      </c>
      <c r="L13" s="66" t="str">
        <f aca="false">IF(G13=0,"",H13/G13)</f>
        <v/>
      </c>
      <c r="M13" s="66" t="str">
        <f aca="false">IF(F13=0,"",H13/F13)</f>
        <v/>
      </c>
      <c r="N13" s="30" t="n">
        <f aca="false">Config!$C$15</f>
        <v>0.25</v>
      </c>
      <c r="O13" s="67" t="str">
        <f aca="false">IF(K13="","",K13-N13)</f>
        <v/>
      </c>
      <c r="P13" s="66" t="str">
        <f aca="false">IF(OR(K13="",L13=""),"",MAX(0,N13-K13)*F13*L13)</f>
        <v/>
      </c>
      <c r="Q13" s="66" t="n">
        <f aca="false">H13*Config!$C$16</f>
        <v>0</v>
      </c>
      <c r="R13" s="39" t="str">
        <f aca="false">CHOOSE(MONTH(A13),"Ene","Feb","Mar","Abr","May","Jun","Jul","Ago","Sep","Oct","Nov","Dic")</f>
        <v>Jul</v>
      </c>
    </row>
    <row r="14" customFormat="false" ht="15" hidden="false" customHeight="false" outlineLevel="0" collapsed="false">
      <c r="A14" s="53" t="n">
        <f aca="false">SEO_Mensual!A14</f>
        <v>46235</v>
      </c>
      <c r="B14" s="29" t="n">
        <f aca="false">SEO_Mensual!B14</f>
        <v>0</v>
      </c>
      <c r="C14" s="29" t="n">
        <f aca="false">SEO_Mensual!C14</f>
        <v>0</v>
      </c>
      <c r="D14" s="29" t="str">
        <f aca="false">SEO_Mensual!J14</f>
        <v/>
      </c>
      <c r="E14" s="29" t="n">
        <f aca="false">SUMIFS(Datos_CCTV!$D$7:$D$372,Datos_CCTV!$A$7:$A$372,"&gt;="&amp;$A14,Datos_CCTV!$A$7:$A$372,"&lt;"&amp;EDATE($A14,1))</f>
        <v>0</v>
      </c>
      <c r="F14" s="29" t="n">
        <f aca="false">SUMIFS(Datos_CCTV!$E$7:$E$372,Datos_CCTV!$A$7:$A$372,"&gt;="&amp;$A14,Datos_CCTV!$A$7:$A$372,"&lt;"&amp;EDATE($A14,1))</f>
        <v>0</v>
      </c>
      <c r="G14" s="29" t="n">
        <f aca="false">SUMIFS(Datos_CCTV!$I$7:$I$372,Datos_CCTV!$A$7:$A$372,"&gt;="&amp;$A14,Datos_CCTV!$A$7:$A$372,"&lt;"&amp;EDATE($A14,1))</f>
        <v>0</v>
      </c>
      <c r="H14" s="66" t="n">
        <f aca="false">SUMIFS(Datos_CCTV!$J$7:$J$372,Datos_CCTV!$A$7:$A$372,"&gt;="&amp;$A14,Datos_CCTV!$A$7:$A$372,"&lt;"&amp;EDATE($A14,1))</f>
        <v>0</v>
      </c>
      <c r="I14" s="30" t="str">
        <f aca="false">IF(B14=0,"",C14/B14)</f>
        <v/>
      </c>
      <c r="J14" s="30" t="str">
        <f aca="false">IF(E14=0,"",F14/E14)</f>
        <v/>
      </c>
      <c r="K14" s="30" t="str">
        <f aca="false">IF(F14=0,"",G14/F14)</f>
        <v/>
      </c>
      <c r="L14" s="66" t="str">
        <f aca="false">IF(G14=0,"",H14/G14)</f>
        <v/>
      </c>
      <c r="M14" s="66" t="str">
        <f aca="false">IF(F14=0,"",H14/F14)</f>
        <v/>
      </c>
      <c r="N14" s="30" t="n">
        <f aca="false">Config!$C$15</f>
        <v>0.25</v>
      </c>
      <c r="O14" s="67" t="str">
        <f aca="false">IF(K14="","",K14-N14)</f>
        <v/>
      </c>
      <c r="P14" s="66" t="str">
        <f aca="false">IF(OR(K14="",L14=""),"",MAX(0,N14-K14)*F14*L14)</f>
        <v/>
      </c>
      <c r="Q14" s="66" t="n">
        <f aca="false">H14*Config!$C$16</f>
        <v>0</v>
      </c>
      <c r="R14" s="39" t="str">
        <f aca="false">CHOOSE(MONTH(A14),"Ene","Feb","Mar","Abr","May","Jun","Jul","Ago","Sep","Oct","Nov","Dic")</f>
        <v>Ago</v>
      </c>
    </row>
    <row r="15" customFormat="false" ht="15" hidden="false" customHeight="false" outlineLevel="0" collapsed="false">
      <c r="A15" s="53" t="n">
        <f aca="false">SEO_Mensual!A15</f>
        <v>46266</v>
      </c>
      <c r="B15" s="29" t="n">
        <f aca="false">SEO_Mensual!B15</f>
        <v>0</v>
      </c>
      <c r="C15" s="29" t="n">
        <f aca="false">SEO_Mensual!C15</f>
        <v>0</v>
      </c>
      <c r="D15" s="29" t="str">
        <f aca="false">SEO_Mensual!J15</f>
        <v/>
      </c>
      <c r="E15" s="29" t="n">
        <f aca="false">SUMIFS(Datos_CCTV!$D$7:$D$372,Datos_CCTV!$A$7:$A$372,"&gt;="&amp;$A15,Datos_CCTV!$A$7:$A$372,"&lt;"&amp;EDATE($A15,1))</f>
        <v>0</v>
      </c>
      <c r="F15" s="29" t="n">
        <f aca="false">SUMIFS(Datos_CCTV!$E$7:$E$372,Datos_CCTV!$A$7:$A$372,"&gt;="&amp;$A15,Datos_CCTV!$A$7:$A$372,"&lt;"&amp;EDATE($A15,1))</f>
        <v>0</v>
      </c>
      <c r="G15" s="29" t="n">
        <f aca="false">SUMIFS(Datos_CCTV!$I$7:$I$372,Datos_CCTV!$A$7:$A$372,"&gt;="&amp;$A15,Datos_CCTV!$A$7:$A$372,"&lt;"&amp;EDATE($A15,1))</f>
        <v>0</v>
      </c>
      <c r="H15" s="66" t="n">
        <f aca="false">SUMIFS(Datos_CCTV!$J$7:$J$372,Datos_CCTV!$A$7:$A$372,"&gt;="&amp;$A15,Datos_CCTV!$A$7:$A$372,"&lt;"&amp;EDATE($A15,1))</f>
        <v>0</v>
      </c>
      <c r="I15" s="30" t="str">
        <f aca="false">IF(B15=0,"",C15/B15)</f>
        <v/>
      </c>
      <c r="J15" s="30" t="str">
        <f aca="false">IF(E15=0,"",F15/E15)</f>
        <v/>
      </c>
      <c r="K15" s="30" t="str">
        <f aca="false">IF(F15=0,"",G15/F15)</f>
        <v/>
      </c>
      <c r="L15" s="66" t="str">
        <f aca="false">IF(G15=0,"",H15/G15)</f>
        <v/>
      </c>
      <c r="M15" s="66" t="str">
        <f aca="false">IF(F15=0,"",H15/F15)</f>
        <v/>
      </c>
      <c r="N15" s="30" t="n">
        <f aca="false">Config!$C$15</f>
        <v>0.25</v>
      </c>
      <c r="O15" s="67" t="str">
        <f aca="false">IF(K15="","",K15-N15)</f>
        <v/>
      </c>
      <c r="P15" s="66" t="str">
        <f aca="false">IF(OR(K15="",L15=""),"",MAX(0,N15-K15)*F15*L15)</f>
        <v/>
      </c>
      <c r="Q15" s="66" t="n">
        <f aca="false">H15*Config!$C$16</f>
        <v>0</v>
      </c>
      <c r="R15" s="39" t="str">
        <f aca="false">CHOOSE(MONTH(A15),"Ene","Feb","Mar","Abr","May","Jun","Jul","Ago","Sep","Oct","Nov","Dic")</f>
        <v>Sep</v>
      </c>
    </row>
    <row r="16" customFormat="false" ht="15" hidden="false" customHeight="false" outlineLevel="0" collapsed="false">
      <c r="A16" s="53" t="n">
        <f aca="false">SEO_Mensual!A16</f>
        <v>46296</v>
      </c>
      <c r="B16" s="29" t="n">
        <f aca="false">SEO_Mensual!B16</f>
        <v>0</v>
      </c>
      <c r="C16" s="29" t="n">
        <f aca="false">SEO_Mensual!C16</f>
        <v>0</v>
      </c>
      <c r="D16" s="29" t="str">
        <f aca="false">SEO_Mensual!J16</f>
        <v/>
      </c>
      <c r="E16" s="29" t="n">
        <f aca="false">SUMIFS(Datos_CCTV!$D$7:$D$372,Datos_CCTV!$A$7:$A$372,"&gt;="&amp;$A16,Datos_CCTV!$A$7:$A$372,"&lt;"&amp;EDATE($A16,1))</f>
        <v>0</v>
      </c>
      <c r="F16" s="29" t="n">
        <f aca="false">SUMIFS(Datos_CCTV!$E$7:$E$372,Datos_CCTV!$A$7:$A$372,"&gt;="&amp;$A16,Datos_CCTV!$A$7:$A$372,"&lt;"&amp;EDATE($A16,1))</f>
        <v>0</v>
      </c>
      <c r="G16" s="29" t="n">
        <f aca="false">SUMIFS(Datos_CCTV!$I$7:$I$372,Datos_CCTV!$A$7:$A$372,"&gt;="&amp;$A16,Datos_CCTV!$A$7:$A$372,"&lt;"&amp;EDATE($A16,1))</f>
        <v>0</v>
      </c>
      <c r="H16" s="66" t="n">
        <f aca="false">SUMIFS(Datos_CCTV!$J$7:$J$372,Datos_CCTV!$A$7:$A$372,"&gt;="&amp;$A16,Datos_CCTV!$A$7:$A$372,"&lt;"&amp;EDATE($A16,1))</f>
        <v>0</v>
      </c>
      <c r="I16" s="30" t="str">
        <f aca="false">IF(B16=0,"",C16/B16)</f>
        <v/>
      </c>
      <c r="J16" s="30" t="str">
        <f aca="false">IF(E16=0,"",F16/E16)</f>
        <v/>
      </c>
      <c r="K16" s="30" t="str">
        <f aca="false">IF(F16=0,"",G16/F16)</f>
        <v/>
      </c>
      <c r="L16" s="66" t="str">
        <f aca="false">IF(G16=0,"",H16/G16)</f>
        <v/>
      </c>
      <c r="M16" s="66" t="str">
        <f aca="false">IF(F16=0,"",H16/F16)</f>
        <v/>
      </c>
      <c r="N16" s="30" t="n">
        <f aca="false">Config!$C$15</f>
        <v>0.25</v>
      </c>
      <c r="O16" s="67" t="str">
        <f aca="false">IF(K16="","",K16-N16)</f>
        <v/>
      </c>
      <c r="P16" s="66" t="str">
        <f aca="false">IF(OR(K16="",L16=""),"",MAX(0,N16-K16)*F16*L16)</f>
        <v/>
      </c>
      <c r="Q16" s="66" t="n">
        <f aca="false">H16*Config!$C$16</f>
        <v>0</v>
      </c>
      <c r="R16" s="39" t="str">
        <f aca="false">CHOOSE(MONTH(A16),"Ene","Feb","Mar","Abr","May","Jun","Jul","Ago","Sep","Oct","Nov","Dic")</f>
        <v>Oct</v>
      </c>
    </row>
    <row r="17" customFormat="false" ht="15" hidden="false" customHeight="false" outlineLevel="0" collapsed="false">
      <c r="A17" s="53" t="n">
        <f aca="false">SEO_Mensual!A17</f>
        <v>46327</v>
      </c>
      <c r="B17" s="29" t="n">
        <f aca="false">SEO_Mensual!B17</f>
        <v>0</v>
      </c>
      <c r="C17" s="29" t="n">
        <f aca="false">SEO_Mensual!C17</f>
        <v>0</v>
      </c>
      <c r="D17" s="29" t="str">
        <f aca="false">SEO_Mensual!J17</f>
        <v/>
      </c>
      <c r="E17" s="29" t="n">
        <f aca="false">SUMIFS(Datos_CCTV!$D$7:$D$372,Datos_CCTV!$A$7:$A$372,"&gt;="&amp;$A17,Datos_CCTV!$A$7:$A$372,"&lt;"&amp;EDATE($A17,1))</f>
        <v>0</v>
      </c>
      <c r="F17" s="29" t="n">
        <f aca="false">SUMIFS(Datos_CCTV!$E$7:$E$372,Datos_CCTV!$A$7:$A$372,"&gt;="&amp;$A17,Datos_CCTV!$A$7:$A$372,"&lt;"&amp;EDATE($A17,1))</f>
        <v>0</v>
      </c>
      <c r="G17" s="29" t="n">
        <f aca="false">SUMIFS(Datos_CCTV!$I$7:$I$372,Datos_CCTV!$A$7:$A$372,"&gt;="&amp;$A17,Datos_CCTV!$A$7:$A$372,"&lt;"&amp;EDATE($A17,1))</f>
        <v>0</v>
      </c>
      <c r="H17" s="66" t="n">
        <f aca="false">SUMIFS(Datos_CCTV!$J$7:$J$372,Datos_CCTV!$A$7:$A$372,"&gt;="&amp;$A17,Datos_CCTV!$A$7:$A$372,"&lt;"&amp;EDATE($A17,1))</f>
        <v>0</v>
      </c>
      <c r="I17" s="30" t="str">
        <f aca="false">IF(B17=0,"",C17/B17)</f>
        <v/>
      </c>
      <c r="J17" s="30" t="str">
        <f aca="false">IF(E17=0,"",F17/E17)</f>
        <v/>
      </c>
      <c r="K17" s="30" t="str">
        <f aca="false">IF(F17=0,"",G17/F17)</f>
        <v/>
      </c>
      <c r="L17" s="66" t="str">
        <f aca="false">IF(G17=0,"",H17/G17)</f>
        <v/>
      </c>
      <c r="M17" s="66" t="str">
        <f aca="false">IF(F17=0,"",H17/F17)</f>
        <v/>
      </c>
      <c r="N17" s="30" t="n">
        <f aca="false">Config!$C$15</f>
        <v>0.25</v>
      </c>
      <c r="O17" s="67" t="str">
        <f aca="false">IF(K17="","",K17-N17)</f>
        <v/>
      </c>
      <c r="P17" s="66" t="str">
        <f aca="false">IF(OR(K17="",L17=""),"",MAX(0,N17-K17)*F17*L17)</f>
        <v/>
      </c>
      <c r="Q17" s="66" t="n">
        <f aca="false">H17*Config!$C$16</f>
        <v>0</v>
      </c>
      <c r="R17" s="39" t="str">
        <f aca="false">CHOOSE(MONTH(A17),"Ene","Feb","Mar","Abr","May","Jun","Jul","Ago","Sep","Oct","Nov","Dic")</f>
        <v>Nov</v>
      </c>
    </row>
    <row r="18" customFormat="false" ht="15" hidden="false" customHeight="false" outlineLevel="0" collapsed="false">
      <c r="A18" s="53" t="n">
        <f aca="false">SEO_Mensual!A18</f>
        <v>46357</v>
      </c>
      <c r="B18" s="29" t="n">
        <f aca="false">SEO_Mensual!B18</f>
        <v>0</v>
      </c>
      <c r="C18" s="29" t="n">
        <f aca="false">SEO_Mensual!C18</f>
        <v>0</v>
      </c>
      <c r="D18" s="29" t="str">
        <f aca="false">SEO_Mensual!J18</f>
        <v/>
      </c>
      <c r="E18" s="29" t="n">
        <f aca="false">SUMIFS(Datos_CCTV!$D$7:$D$372,Datos_CCTV!$A$7:$A$372,"&gt;="&amp;$A18,Datos_CCTV!$A$7:$A$372,"&lt;"&amp;EDATE($A18,1))</f>
        <v>0</v>
      </c>
      <c r="F18" s="29" t="n">
        <f aca="false">SUMIFS(Datos_CCTV!$E$7:$E$372,Datos_CCTV!$A$7:$A$372,"&gt;="&amp;$A18,Datos_CCTV!$A$7:$A$372,"&lt;"&amp;EDATE($A18,1))</f>
        <v>0</v>
      </c>
      <c r="G18" s="29" t="n">
        <f aca="false">SUMIFS(Datos_CCTV!$I$7:$I$372,Datos_CCTV!$A$7:$A$372,"&gt;="&amp;$A18,Datos_CCTV!$A$7:$A$372,"&lt;"&amp;EDATE($A18,1))</f>
        <v>0</v>
      </c>
      <c r="H18" s="66" t="n">
        <f aca="false">SUMIFS(Datos_CCTV!$J$7:$J$372,Datos_CCTV!$A$7:$A$372,"&gt;="&amp;$A18,Datos_CCTV!$A$7:$A$372,"&lt;"&amp;EDATE($A18,1))</f>
        <v>0</v>
      </c>
      <c r="I18" s="30" t="str">
        <f aca="false">IF(B18=0,"",C18/B18)</f>
        <v/>
      </c>
      <c r="J18" s="30" t="str">
        <f aca="false">IF(E18=0,"",F18/E18)</f>
        <v/>
      </c>
      <c r="K18" s="30" t="str">
        <f aca="false">IF(F18=0,"",G18/F18)</f>
        <v/>
      </c>
      <c r="L18" s="66" t="str">
        <f aca="false">IF(G18=0,"",H18/G18)</f>
        <v/>
      </c>
      <c r="M18" s="66" t="str">
        <f aca="false">IF(F18=0,"",H18/F18)</f>
        <v/>
      </c>
      <c r="N18" s="30" t="n">
        <f aca="false">Config!$C$15</f>
        <v>0.25</v>
      </c>
      <c r="O18" s="67" t="str">
        <f aca="false">IF(K18="","",K18-N18)</f>
        <v/>
      </c>
      <c r="P18" s="66" t="str">
        <f aca="false">IF(OR(K18="",L18=""),"",MAX(0,N18-K18)*F18*L18)</f>
        <v/>
      </c>
      <c r="Q18" s="66" t="n">
        <f aca="false">H18*Config!$C$16</f>
        <v>0</v>
      </c>
      <c r="R18" s="39" t="str">
        <f aca="false">CHOOSE(MONTH(A18),"Ene","Feb","Mar","Abr","May","Jun","Jul","Ago","Sep","Oct","Nov","Dic")</f>
        <v>Dic</v>
      </c>
    </row>
    <row r="19" customFormat="false" ht="15" hidden="false" customHeight="false" outlineLevel="0" collapsed="false">
      <c r="A19" s="55" t="s">
        <v>183</v>
      </c>
      <c r="B19" s="50" t="n">
        <f aca="false">SUM(B7:B18)</f>
        <v>42000</v>
      </c>
      <c r="C19" s="50" t="n">
        <f aca="false">SUM(C7:C18)</f>
        <v>1850</v>
      </c>
      <c r="D19" s="50" t="n">
        <f aca="false">SUM(D7:D18)</f>
        <v>364</v>
      </c>
      <c r="E19" s="50" t="n">
        <f aca="false">SUM(E7:E18)</f>
        <v>1250</v>
      </c>
      <c r="F19" s="50" t="n">
        <f aca="false">SUM(F7:F18)</f>
        <v>118</v>
      </c>
      <c r="G19" s="50" t="n">
        <f aca="false">SUM(G7:G18)</f>
        <v>31</v>
      </c>
      <c r="H19" s="68" t="n">
        <f aca="false">SUM(H7:H18)</f>
        <v>1860000</v>
      </c>
      <c r="I19" s="56" t="n">
        <f aca="false">IF(B19=0,"",C19/B19)</f>
        <v>0.0440476190476191</v>
      </c>
      <c r="J19" s="56" t="n">
        <f aca="false">IF(E19=0,"",F19/E19)</f>
        <v>0.0944</v>
      </c>
      <c r="K19" s="56" t="n">
        <f aca="false">IF(F19=0,"",G19/F19)</f>
        <v>0.26271186440678</v>
      </c>
      <c r="L19" s="68" t="n">
        <f aca="false">IF(G19=0,"",H19/G19)</f>
        <v>60000</v>
      </c>
      <c r="M19" s="68" t="n">
        <f aca="false">IF(F19=0,"",H19/F19)</f>
        <v>15762.7118644068</v>
      </c>
      <c r="N19" s="56" t="n">
        <f aca="false">Config!$C$15</f>
        <v>0.25</v>
      </c>
      <c r="O19" s="69" t="n">
        <f aca="false">IF(K19="","",K19-N19)</f>
        <v>0.0127118644067797</v>
      </c>
      <c r="P19" s="68" t="n">
        <f aca="false">SUM(P7:P18)</f>
        <v>0</v>
      </c>
      <c r="Q19" s="68" t="n">
        <f aca="false">SUM(Q7:Q18)</f>
        <v>651000</v>
      </c>
      <c r="R19" s="15"/>
    </row>
    <row r="21" customFormat="false" ht="15" hidden="false" customHeight="false" outlineLevel="0" collapsed="false">
      <c r="A21" s="52" t="s">
        <v>252</v>
      </c>
    </row>
    <row r="22" customFormat="false" ht="15" hidden="false" customHeight="false" outlineLevel="0" collapsed="false">
      <c r="A22" s="52" t="s">
        <v>253</v>
      </c>
    </row>
  </sheetData>
  <conditionalFormatting sqref="K7:K19">
    <cfRule type="expression" priority="2" aboveAverage="0" equalAverage="0" bottom="0" percent="0" rank="0" text="" dxfId="11">
      <formula>AND(ISNUMBER(K7),K7&gt;=N7)</formula>
    </cfRule>
    <cfRule type="expression" priority="3" aboveAverage="0" equalAverage="0" bottom="0" percent="0" rank="0" text="" dxfId="12">
      <formula>AND(ISNUMBER(K7),K7&lt;N7)</formula>
    </cfRule>
  </conditionalFormatting>
  <hyperlinks>
    <hyperlink ref="B3" r:id="rId1" display="APC Servicios Tecnológicos — By Alejandro Piraquive  |  WhatsApp / Tel: 333 745 0634"/>
    <hyperlink ref="B4" r:id="rId2" display="Web: serviciosapc.sit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serviciosapc.site  |  Alejandro Piraquive  |  333 745 0634</oddFooter>
  </headerFooter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4B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4" min="3" style="0" width="62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 t="s">
        <v>254</v>
      </c>
    </row>
    <row r="3" customFormat="false" ht="18" hidden="false" customHeight="true" outlineLevel="0" collapsed="false">
      <c r="B3" s="3" t="s">
        <v>2</v>
      </c>
    </row>
    <row r="4" customFormat="false" ht="18" hidden="false" customHeight="true" outlineLevel="0" collapsed="false">
      <c r="B4" s="3" t="s">
        <v>3</v>
      </c>
    </row>
    <row r="5" customFormat="false" ht="4.5" hidden="false" customHeight="true" outlineLevel="0" collapsed="false">
      <c r="A5" s="4"/>
      <c r="B5" s="4"/>
      <c r="C5" s="4"/>
      <c r="D5" s="4"/>
    </row>
    <row r="7" customFormat="false" ht="21.75" hidden="false" customHeight="true" outlineLevel="0" collapsed="false">
      <c r="A7" s="7" t="s">
        <v>255</v>
      </c>
      <c r="B7" s="7"/>
      <c r="C7" s="7"/>
      <c r="D7" s="7"/>
    </row>
    <row r="8" customFormat="false" ht="30" hidden="false" customHeight="true" outlineLevel="0" collapsed="false">
      <c r="A8" s="16" t="s">
        <v>256</v>
      </c>
      <c r="B8" s="16"/>
      <c r="C8" s="16"/>
      <c r="D8" s="16"/>
    </row>
    <row r="9" customFormat="false" ht="21.75" hidden="false" customHeight="true" outlineLevel="0" collapsed="false">
      <c r="A9" s="7" t="s">
        <v>257</v>
      </c>
      <c r="B9" s="7"/>
      <c r="C9" s="7"/>
      <c r="D9" s="7"/>
    </row>
    <row r="10" customFormat="false" ht="21.75" hidden="false" customHeight="true" outlineLevel="0" collapsed="false">
      <c r="A10" s="16" t="s">
        <v>258</v>
      </c>
      <c r="B10" s="16"/>
      <c r="C10" s="16"/>
      <c r="D10" s="16"/>
    </row>
    <row r="11" customFormat="false" ht="21.75" hidden="false" customHeight="true" outlineLevel="0" collapsed="false">
      <c r="A11" s="16" t="s">
        <v>259</v>
      </c>
      <c r="B11" s="16"/>
      <c r="C11" s="16"/>
      <c r="D11" s="16"/>
    </row>
    <row r="12" customFormat="false" ht="21.75" hidden="false" customHeight="true" outlineLevel="0" collapsed="false">
      <c r="A12" s="16" t="s">
        <v>260</v>
      </c>
      <c r="B12" s="16"/>
      <c r="C12" s="16"/>
      <c r="D12" s="16"/>
    </row>
    <row r="13" customFormat="false" ht="21.75" hidden="false" customHeight="true" outlineLevel="0" collapsed="false">
      <c r="A13" s="7" t="s">
        <v>261</v>
      </c>
      <c r="B13" s="7"/>
      <c r="C13" s="7"/>
      <c r="D13" s="7"/>
    </row>
    <row r="14" customFormat="false" ht="21.75" hidden="false" customHeight="true" outlineLevel="0" collapsed="false">
      <c r="A14" s="16" t="s">
        <v>262</v>
      </c>
      <c r="B14" s="16"/>
      <c r="C14" s="16"/>
      <c r="D14" s="16"/>
    </row>
    <row r="15" customFormat="false" ht="15" hidden="false" customHeight="false" outlineLevel="0" collapsed="false">
      <c r="A15" s="70" t="s">
        <v>263</v>
      </c>
      <c r="B15" s="71"/>
      <c r="C15" s="71"/>
      <c r="D15" s="71"/>
    </row>
    <row r="16" customFormat="false" ht="15" hidden="false" customHeight="false" outlineLevel="0" collapsed="false">
      <c r="A16" s="70" t="s">
        <v>264</v>
      </c>
      <c r="B16" s="71"/>
      <c r="C16" s="71"/>
      <c r="D16" s="71"/>
    </row>
    <row r="17" customFormat="false" ht="15" hidden="false" customHeight="false" outlineLevel="0" collapsed="false">
      <c r="A17" s="70"/>
      <c r="B17" s="71"/>
      <c r="C17" s="71"/>
      <c r="D17" s="71"/>
    </row>
    <row r="18" customFormat="false" ht="15" hidden="false" customHeight="false" outlineLevel="0" collapsed="false">
      <c r="A18" s="70" t="s">
        <v>265</v>
      </c>
      <c r="B18" s="71"/>
      <c r="C18" s="71"/>
      <c r="D18" s="71"/>
    </row>
    <row r="19" customFormat="false" ht="15" hidden="false" customHeight="false" outlineLevel="0" collapsed="false">
      <c r="A19" s="70" t="s">
        <v>266</v>
      </c>
      <c r="B19" s="71"/>
      <c r="C19" s="71"/>
      <c r="D19" s="71"/>
    </row>
    <row r="20" customFormat="false" ht="15" hidden="false" customHeight="false" outlineLevel="0" collapsed="false">
      <c r="A20" s="70" t="s">
        <v>267</v>
      </c>
      <c r="B20" s="71"/>
      <c r="C20" s="71"/>
      <c r="D20" s="71"/>
    </row>
    <row r="21" customFormat="false" ht="15" hidden="false" customHeight="false" outlineLevel="0" collapsed="false">
      <c r="A21" s="70" t="s">
        <v>268</v>
      </c>
      <c r="B21" s="71"/>
      <c r="C21" s="71"/>
      <c r="D21" s="71"/>
    </row>
    <row r="22" customFormat="false" ht="15" hidden="false" customHeight="false" outlineLevel="0" collapsed="false">
      <c r="A22" s="70" t="s">
        <v>269</v>
      </c>
      <c r="B22" s="71"/>
      <c r="C22" s="71"/>
      <c r="D22" s="71"/>
    </row>
    <row r="23" customFormat="false" ht="15" hidden="false" customHeight="false" outlineLevel="0" collapsed="false">
      <c r="A23" s="70" t="s">
        <v>270</v>
      </c>
      <c r="B23" s="71"/>
      <c r="C23" s="71"/>
      <c r="D23" s="71"/>
    </row>
    <row r="24" customFormat="false" ht="15" hidden="false" customHeight="false" outlineLevel="0" collapsed="false">
      <c r="A24" s="70" t="s">
        <v>271</v>
      </c>
      <c r="B24" s="71"/>
      <c r="C24" s="71"/>
      <c r="D24" s="71"/>
    </row>
    <row r="25" customFormat="false" ht="15" hidden="false" customHeight="false" outlineLevel="0" collapsed="false">
      <c r="A25" s="70" t="s">
        <v>272</v>
      </c>
      <c r="B25" s="71"/>
      <c r="C25" s="71"/>
      <c r="D25" s="71"/>
    </row>
    <row r="26" customFormat="false" ht="15" hidden="false" customHeight="false" outlineLevel="0" collapsed="false">
      <c r="A26" s="70" t="s">
        <v>273</v>
      </c>
      <c r="B26" s="71"/>
      <c r="C26" s="71"/>
      <c r="D26" s="71"/>
    </row>
    <row r="27" customFormat="false" ht="15" hidden="false" customHeight="false" outlineLevel="0" collapsed="false">
      <c r="A27" s="70" t="s">
        <v>274</v>
      </c>
      <c r="B27" s="71"/>
      <c r="C27" s="71"/>
      <c r="D27" s="71"/>
    </row>
    <row r="28" customFormat="false" ht="15" hidden="false" customHeight="false" outlineLevel="0" collapsed="false">
      <c r="A28" s="70" t="s">
        <v>275</v>
      </c>
      <c r="B28" s="71"/>
      <c r="C28" s="71"/>
      <c r="D28" s="71"/>
    </row>
    <row r="29" customFormat="false" ht="15" hidden="false" customHeight="false" outlineLevel="0" collapsed="false">
      <c r="A29" s="70" t="s">
        <v>276</v>
      </c>
      <c r="B29" s="71"/>
      <c r="C29" s="71"/>
      <c r="D29" s="71"/>
    </row>
    <row r="30" customFormat="false" ht="15" hidden="false" customHeight="false" outlineLevel="0" collapsed="false">
      <c r="A30" s="70" t="s">
        <v>277</v>
      </c>
      <c r="B30" s="71"/>
      <c r="C30" s="71"/>
      <c r="D30" s="71"/>
    </row>
    <row r="31" customFormat="false" ht="15" hidden="false" customHeight="false" outlineLevel="0" collapsed="false">
      <c r="A31" s="70" t="s">
        <v>278</v>
      </c>
      <c r="B31" s="71"/>
      <c r="C31" s="71"/>
      <c r="D31" s="71"/>
    </row>
    <row r="32" customFormat="false" ht="15" hidden="false" customHeight="false" outlineLevel="0" collapsed="false">
      <c r="A32" s="70" t="s">
        <v>279</v>
      </c>
      <c r="B32" s="71"/>
      <c r="C32" s="71"/>
      <c r="D32" s="71"/>
    </row>
    <row r="33" customFormat="false" ht="15" hidden="false" customHeight="false" outlineLevel="0" collapsed="false">
      <c r="A33" s="70" t="s">
        <v>280</v>
      </c>
      <c r="B33" s="71"/>
      <c r="C33" s="71"/>
      <c r="D33" s="71"/>
    </row>
    <row r="34" customFormat="false" ht="15" hidden="false" customHeight="false" outlineLevel="0" collapsed="false">
      <c r="A34" s="70" t="s">
        <v>281</v>
      </c>
      <c r="B34" s="71"/>
      <c r="C34" s="71"/>
      <c r="D34" s="71"/>
    </row>
    <row r="35" customFormat="false" ht="15" hidden="false" customHeight="false" outlineLevel="0" collapsed="false">
      <c r="A35" s="70" t="s">
        <v>282</v>
      </c>
      <c r="B35" s="71"/>
      <c r="C35" s="71"/>
      <c r="D35" s="71"/>
    </row>
    <row r="36" customFormat="false" ht="15" hidden="false" customHeight="false" outlineLevel="0" collapsed="false">
      <c r="A36" s="70" t="s">
        <v>283</v>
      </c>
      <c r="B36" s="71"/>
      <c r="C36" s="71"/>
      <c r="D36" s="71"/>
    </row>
    <row r="38" customFormat="false" ht="21.75" hidden="false" customHeight="true" outlineLevel="0" collapsed="false">
      <c r="A38" s="7" t="s">
        <v>284</v>
      </c>
      <c r="B38" s="7"/>
      <c r="C38" s="7"/>
      <c r="D38" s="7"/>
    </row>
    <row r="39" customFormat="false" ht="21.75" hidden="false" customHeight="true" outlineLevel="0" collapsed="false">
      <c r="A39" s="16" t="s">
        <v>285</v>
      </c>
      <c r="B39" s="16"/>
      <c r="C39" s="16"/>
      <c r="D39" s="16"/>
    </row>
    <row r="40" customFormat="false" ht="21.75" hidden="false" customHeight="true" outlineLevel="0" collapsed="false">
      <c r="A40" s="16" t="s">
        <v>286</v>
      </c>
      <c r="B40" s="16"/>
      <c r="C40" s="16"/>
      <c r="D40" s="16"/>
    </row>
    <row r="41" customFormat="false" ht="21.75" hidden="false" customHeight="true" outlineLevel="0" collapsed="false">
      <c r="A41" s="16" t="s">
        <v>287</v>
      </c>
      <c r="B41" s="16"/>
      <c r="C41" s="16"/>
      <c r="D41" s="16"/>
    </row>
    <row r="42" customFormat="false" ht="21.75" hidden="false" customHeight="true" outlineLevel="0" collapsed="false">
      <c r="A42" s="7" t="s">
        <v>288</v>
      </c>
      <c r="B42" s="7"/>
      <c r="C42" s="7"/>
      <c r="D42" s="7"/>
    </row>
    <row r="43" customFormat="false" ht="30" hidden="false" customHeight="true" outlineLevel="0" collapsed="false">
      <c r="A43" s="16" t="s">
        <v>289</v>
      </c>
      <c r="B43" s="16"/>
      <c r="C43" s="16"/>
      <c r="D43" s="16"/>
    </row>
    <row r="44" customFormat="false" ht="30" hidden="false" customHeight="true" outlineLevel="0" collapsed="false">
      <c r="A44" s="16" t="s">
        <v>290</v>
      </c>
      <c r="B44" s="16"/>
      <c r="C44" s="16"/>
      <c r="D44" s="16"/>
    </row>
    <row r="45" customFormat="false" ht="21.75" hidden="false" customHeight="true" outlineLevel="0" collapsed="false">
      <c r="A45" s="7" t="s">
        <v>291</v>
      </c>
      <c r="B45" s="7"/>
      <c r="C45" s="7"/>
      <c r="D45" s="7"/>
    </row>
    <row r="46" customFormat="false" ht="21.75" hidden="false" customHeight="true" outlineLevel="0" collapsed="false">
      <c r="A46" s="8" t="s">
        <v>292</v>
      </c>
      <c r="B46" s="8" t="s">
        <v>46</v>
      </c>
      <c r="C46" s="8" t="s">
        <v>293</v>
      </c>
      <c r="D46" s="8"/>
    </row>
    <row r="47" customFormat="false" ht="30" hidden="false" customHeight="true" outlineLevel="0" collapsed="false">
      <c r="A47" s="72" t="s">
        <v>135</v>
      </c>
      <c r="B47" s="10" t="s">
        <v>294</v>
      </c>
      <c r="C47" s="10" t="s">
        <v>295</v>
      </c>
      <c r="D47" s="10"/>
    </row>
    <row r="48" customFormat="false" ht="30" hidden="false" customHeight="true" outlineLevel="0" collapsed="false">
      <c r="A48" s="72" t="s">
        <v>296</v>
      </c>
      <c r="B48" s="10" t="s">
        <v>297</v>
      </c>
      <c r="C48" s="10" t="s">
        <v>298</v>
      </c>
      <c r="D48" s="10"/>
    </row>
    <row r="49" customFormat="false" ht="30" hidden="false" customHeight="true" outlineLevel="0" collapsed="false">
      <c r="A49" s="72" t="s">
        <v>71</v>
      </c>
      <c r="B49" s="10" t="s">
        <v>299</v>
      </c>
      <c r="C49" s="10" t="s">
        <v>300</v>
      </c>
      <c r="D49" s="10"/>
    </row>
    <row r="50" customFormat="false" ht="30" hidden="false" customHeight="true" outlineLevel="0" collapsed="false">
      <c r="A50" s="72" t="s">
        <v>73</v>
      </c>
      <c r="B50" s="10" t="s">
        <v>301</v>
      </c>
      <c r="C50" s="10" t="s">
        <v>302</v>
      </c>
      <c r="D50" s="10"/>
    </row>
    <row r="51" customFormat="false" ht="30" hidden="false" customHeight="true" outlineLevel="0" collapsed="false">
      <c r="A51" s="72" t="s">
        <v>176</v>
      </c>
      <c r="B51" s="10" t="s">
        <v>303</v>
      </c>
      <c r="C51" s="10" t="s">
        <v>304</v>
      </c>
      <c r="D51" s="10"/>
    </row>
    <row r="52" customFormat="false" ht="30" hidden="false" customHeight="true" outlineLevel="0" collapsed="false">
      <c r="A52" s="72" t="s">
        <v>305</v>
      </c>
      <c r="B52" s="10" t="s">
        <v>306</v>
      </c>
      <c r="C52" s="10" t="s">
        <v>307</v>
      </c>
      <c r="D52" s="10"/>
    </row>
    <row r="53" customFormat="false" ht="30" hidden="false" customHeight="true" outlineLevel="0" collapsed="false">
      <c r="A53" s="72" t="s">
        <v>308</v>
      </c>
      <c r="B53" s="10" t="s">
        <v>309</v>
      </c>
      <c r="C53" s="10" t="s">
        <v>310</v>
      </c>
      <c r="D53" s="10"/>
    </row>
  </sheetData>
  <mergeCells count="24">
    <mergeCell ref="A7:D7"/>
    <mergeCell ref="A8:D8"/>
    <mergeCell ref="A9:D9"/>
    <mergeCell ref="A10:D10"/>
    <mergeCell ref="A11:D11"/>
    <mergeCell ref="A12:D12"/>
    <mergeCell ref="A13:D13"/>
    <mergeCell ref="A14:D14"/>
    <mergeCell ref="A38:D38"/>
    <mergeCell ref="A39:D39"/>
    <mergeCell ref="A40:D40"/>
    <mergeCell ref="A41:D41"/>
    <mergeCell ref="A42:D42"/>
    <mergeCell ref="A43:D43"/>
    <mergeCell ref="A44:D44"/>
    <mergeCell ref="A45:D45"/>
    <mergeCell ref="C46:D46"/>
    <mergeCell ref="C47:D47"/>
    <mergeCell ref="C48:D48"/>
    <mergeCell ref="C49:D49"/>
    <mergeCell ref="C50:D50"/>
    <mergeCell ref="C51:D51"/>
    <mergeCell ref="C52:D52"/>
    <mergeCell ref="C53:D53"/>
  </mergeCells>
  <hyperlinks>
    <hyperlink ref="B3" r:id="rId1" display="APC Servicios Tecnológicos — By Alejandro Piraquive  |  WhatsApp / Tel: 333 745 0634"/>
    <hyperlink ref="B4" r:id="rId2" display="Web: serviciosapc.sit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serviciosapc.site  |  Alejandro Piraquive  |  333 745 0634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2026-09-24T00:57:29Z</dcterms:created>
  <dc:creator>Alejandro Piraquive – APC Servicios Tecnológicos</dc:creator>
  <dc:description/>
  <dc:language>en-US</dc:language>
  <cp:lastModifiedBy/>
  <dcterms:modified xsi:type="dcterms:W3CDTF">2026-09-24T00:57:31Z</dcterms:modified>
  <cp:revision>1</cp:revision>
  <dc:subject/>
  <dc:title>Plantilla KPI Conversión Offline + SEO – APC Servicios Tecnológicos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